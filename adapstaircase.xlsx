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yashah/Desktop/PSY310/data/"/>
    </mc:Choice>
  </mc:AlternateContent>
  <xr:revisionPtr revIDLastSave="0" documentId="13_ncr:1_{E36AC50B-06B5-894A-A68E-96CA7107CF9B}" xr6:coauthVersionLast="47" xr6:coauthVersionMax="47" xr10:uidLastSave="{00000000-0000-0000-0000-000000000000}"/>
  <bookViews>
    <workbookView xWindow="780" yWindow="1000" windowWidth="27640" windowHeight="15340" activeTab="3" xr2:uid="{79729408-23E0-1046-A86D-BB42D400DE55}"/>
  </bookViews>
  <sheets>
    <sheet name="186454_adapstair1_2025-09-07_16" sheetId="1" r:id="rId1"/>
    <sheet name="clean data" sheetId="2" r:id="rId2"/>
    <sheet name="SUMMARY" sheetId="3" r:id="rId3"/>
    <sheet name="figures " sheetId="4" r:id="rId4"/>
  </sheets>
  <definedNames>
    <definedName name="_xlnm._FilterDatabase" localSheetId="1" hidden="1">'clean data'!$A$1:$D$101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" i="2"/>
  <c r="H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F7" i="2"/>
  <c r="F4" i="2"/>
</calcChain>
</file>

<file path=xl/sharedStrings.xml><?xml version="1.0" encoding="utf-8"?>
<sst xmlns="http://schemas.openxmlformats.org/spreadsheetml/2006/main" count="1465" uniqueCount="661">
  <si>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</si>
  <si>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</si>
  <si>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</si>
  <si>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</si>
  <si>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</si>
  <si>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</si>
  <si>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</si>
  <si>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</si>
  <si>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</si>
  <si>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</si>
  <si>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</si>
  <si>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</si>
  <si>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</si>
  <si>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</si>
  <si>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</si>
  <si>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</si>
  <si>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</si>
  <si>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</si>
  <si>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</si>
  <si>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</si>
  <si>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</si>
  <si>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</si>
  <si>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0.032599750004010275</t>
  </si>
  <si>
    <t>0.5022056669986341</t>
  </si>
  <si>
    <t>0.5212012919946574</t>
  </si>
  <si>
    <t>0.8003489999973681</t>
  </si>
  <si>
    <t>24.48771325001144</t>
  </si>
  <si>
    <t>23.753752958000405</t>
  </si>
  <si>
    <t>001</t>
  </si>
  <si>
    <t>2025-09-07_16h01.39.402</t>
  </si>
  <si>
    <t>adapstair1</t>
  </si>
  <si>
    <t>2025.1.1</t>
  </si>
  <si>
    <t>None</t>
  </si>
  <si>
    <t>16h01.42.070234</t>
  </si>
  <si>
    <t>24.513101042015478</t>
  </si>
  <si>
    <t>24.487838500004727</t>
  </si>
  <si>
    <t>24.983318667014828</t>
  </si>
  <si>
    <t>25.004004584014183</t>
  </si>
  <si>
    <t>25.271482834010385</t>
  </si>
  <si>
    <t>26.31834341699141</t>
  </si>
  <si>
    <t>1.329706874996191</t>
  </si>
  <si>
    <t>26.32121166700381</t>
  </si>
  <si>
    <t>26.318500916997436</t>
  </si>
  <si>
    <t>26.817590666993055</t>
  </si>
  <si>
    <t>27.10499016699032</t>
  </si>
  <si>
    <t>31.855185583990533</t>
  </si>
  <si>
    <t>5.033424416003982</t>
  </si>
  <si>
    <t>31.866911499993876</t>
  </si>
  <si>
    <t>31.85537812500843</t>
  </si>
  <si>
    <t>32.35089666699059</t>
  </si>
  <si>
    <t>32.355553625005996</t>
  </si>
  <si>
    <t>32.63847475001239</t>
  </si>
  <si>
    <t>32.95714058401063</t>
  </si>
  <si>
    <t>0.6041137500142213</t>
  </si>
  <si>
    <t>32.96719470899552</t>
  </si>
  <si>
    <t>32.957272958999965</t>
  </si>
  <si>
    <t>33.45574633401702</t>
  </si>
  <si>
    <t>33.75090679200366</t>
  </si>
  <si>
    <t>33.84030029200949</t>
  </si>
  <si>
    <t>0.3832810420135502</t>
  </si>
  <si>
    <t>33.85090066699195</t>
  </si>
  <si>
    <t>33.84042462499929</t>
  </si>
  <si>
    <t>34.337466083990876</t>
  </si>
  <si>
    <t>34.601254542008974</t>
  </si>
  <si>
    <t>34.60403133399086</t>
  </si>
  <si>
    <t>34.601409833994694</t>
  </si>
  <si>
    <t>35.10023608399206</t>
  </si>
  <si>
    <t>35.32164058400667</t>
  </si>
  <si>
    <t>35.33381766700768</t>
  </si>
  <si>
    <t>35.32178495900007</t>
  </si>
  <si>
    <t>35.81782050000038</t>
  </si>
  <si>
    <t>35.82263233399135</t>
  </si>
  <si>
    <t>36.10704270901624</t>
  </si>
  <si>
    <t>36.10114345900365</t>
  </si>
  <si>
    <t>0.27520475001074374</t>
  </si>
  <si>
    <t>36.10126720901462</t>
  </si>
  <si>
    <t>36.59023708399036</t>
  </si>
  <si>
    <t>36.60027216700837</t>
  </si>
  <si>
    <t>36.88674879199243</t>
  </si>
  <si>
    <t>1557.056699000008</t>
  </si>
  <si>
    <t>1520.4549528750067</t>
  </si>
  <si>
    <t>1557.0907622920058</t>
  </si>
  <si>
    <t>1557.0639638339926</t>
  </si>
  <si>
    <t>1557.5755265000043</t>
  </si>
  <si>
    <t>1557.5841569170007</t>
  </si>
  <si>
    <t>1557.8716898339917</t>
  </si>
  <si>
    <t>1558.1362257500004</t>
  </si>
  <si>
    <t>0.5567884999909438</t>
  </si>
  <si>
    <t>1558.1407239999971</t>
  </si>
  <si>
    <t>1558.1366066249902</t>
  </si>
  <si>
    <t>1558.634476584004</t>
  </si>
  <si>
    <t>1558.6383992090123</t>
  </si>
  <si>
    <t>1558.9218992920069</t>
  </si>
  <si>
    <t>1558.9893150420103</t>
  </si>
  <si>
    <t>0.35345133300870657</t>
  </si>
  <si>
    <t>1559.001298749994</t>
  </si>
  <si>
    <t>1558.9894498749927</t>
  </si>
  <si>
    <t>1559.484461916989</t>
  </si>
  <si>
    <t>1559.4886830839969</t>
  </si>
  <si>
    <t>1559.7718948340043</t>
  </si>
  <si>
    <t>1559.8530401250173</t>
  </si>
  <si>
    <t>0.3544185000064317</t>
  </si>
  <si>
    <t>1559.8594177500054</t>
  </si>
  <si>
    <t>1559.8533977920015</t>
  </si>
  <si>
    <t>1560.351261333999</t>
  </si>
  <si>
    <t>1560.3551166249963</t>
  </si>
  <si>
    <t>1560.590131208999</t>
  </si>
  <si>
    <t>1560.6007647500082</t>
  </si>
  <si>
    <t>1560.5904206669948</t>
  </si>
  <si>
    <t>1561.0889668340096</t>
  </si>
  <si>
    <t>1561.3526875840034</t>
  </si>
  <si>
    <t>1561.3652909169905</t>
  </si>
  <si>
    <t>1561.3530281250132</t>
  </si>
  <si>
    <t>1561.851525709004</t>
  </si>
  <si>
    <t>1561.8554359170084</t>
  </si>
  <si>
    <t>1562.1385362920118</t>
  </si>
  <si>
    <t>1562.5559530419996</t>
  </si>
  <si>
    <t>0.7013705840217881</t>
  </si>
  <si>
    <t>1562.5680139999895</t>
  </si>
  <si>
    <t>1562.5560411250044</t>
  </si>
  <si>
    <t>1563.051302500011</t>
  </si>
  <si>
    <t>1563.0556100420072</t>
  </si>
  <si>
    <t>1563.3384869169968</t>
  </si>
  <si>
    <t>1563.5194266249891</t>
  </si>
  <si>
    <t>0.46295762501540594</t>
  </si>
  <si>
    <t>1563.523956042016</t>
  </si>
  <si>
    <t>1563.519807625009</t>
  </si>
  <si>
    <t>1564.0177507500048</t>
  </si>
  <si>
    <t>1564.0220137500146</t>
  </si>
  <si>
    <t>1564.1365907920117</t>
  </si>
  <si>
    <t>1564.1416625420097</t>
  </si>
  <si>
    <t>1564.1369983750046</t>
  </si>
  <si>
    <t>1564.6345077920123</t>
  </si>
  <si>
    <t>1564.6386867089896</t>
  </si>
  <si>
    <t>1564.9221253340074</t>
  </si>
  <si>
    <t>1564.9402512499946</t>
  </si>
  <si>
    <t>0.3013740000023972</t>
  </si>
  <si>
    <t>1564.951235125016</t>
  </si>
  <si>
    <t>1564.9405033340154</t>
  </si>
  <si>
    <t>1565.4385943340021</t>
  </si>
  <si>
    <t>1565.456025374995</t>
  </si>
  <si>
    <t>1565.4680189999926</t>
  </si>
  <si>
    <t>1565.4561107500049</t>
  </si>
  <si>
    <t>1565.9512138339924</t>
  </si>
  <si>
    <t>1565.9555543750175</t>
  </si>
  <si>
    <t>1566.1192914170097</t>
  </si>
  <si>
    <t>1566.124416250008</t>
  </si>
  <si>
    <t>1566.119634792005</t>
  </si>
  <si>
    <t>1566.617955084017</t>
  </si>
  <si>
    <t>1566.6220755419927</t>
  </si>
  <si>
    <t>1566.7858790419996</t>
  </si>
  <si>
    <t>1566.7924848750117</t>
  </si>
  <si>
    <t>1566.7862162500096</t>
  </si>
  <si>
    <t>1567.2887778750155</t>
  </si>
  <si>
    <t>1567.3527537090122</t>
  </si>
  <si>
    <t>1567.3559016250074</t>
  </si>
  <si>
    <t>1567.3531331669947</t>
  </si>
  <si>
    <t>1567.851239459007</t>
  </si>
  <si>
    <t>1567.8859047919977</t>
  </si>
  <si>
    <t>1567.8896222499898</t>
  </si>
  <si>
    <t>1567.8861963340023</t>
  </si>
  <si>
    <t>1568.3844665840152</t>
  </si>
  <si>
    <t>1568.6715355839988</t>
  </si>
  <si>
    <t>1569.0232927089965</t>
  </si>
  <si>
    <t>0.6343824170180596</t>
  </si>
  <si>
    <t>1569.034552750003</t>
  </si>
  <si>
    <t>1569.0234718339925</t>
  </si>
  <si>
    <t>1569.5221834999975</t>
  </si>
  <si>
    <t>1569.817930084013</t>
  </si>
  <si>
    <t>1570.1028614590177</t>
  </si>
  <si>
    <t>0.5729837499966379</t>
  </si>
  <si>
    <t>1570.1096132500097</t>
  </si>
  <si>
    <t>1570.1032327919966</t>
  </si>
  <si>
    <t>1570.6012139999948</t>
  </si>
  <si>
    <t>1570.605469000002</t>
  </si>
  <si>
    <t>1570.888582375017</t>
  </si>
  <si>
    <t>1571.0198499170074</t>
  </si>
  <si>
    <t>0.4066102500073612</t>
  </si>
  <si>
    <t>1571.0259398340131</t>
  </si>
  <si>
    <t>1571.0201773750014</t>
  </si>
  <si>
    <t>1571.5179380839982</t>
  </si>
  <si>
    <t>1571.5220571669925</t>
  </si>
  <si>
    <t>1571.8053145000013</t>
  </si>
  <si>
    <t>1571.8193197090004</t>
  </si>
  <si>
    <t>0.2920544160006102</t>
  </si>
  <si>
    <t>1571.8196731249918</t>
  </si>
  <si>
    <t>1572.3177334170032</t>
  </si>
  <si>
    <t>1572.322032416996</t>
  </si>
  <si>
    <t>1572.6056489170005</t>
  </si>
  <si>
    <t>0.45510370898409747</t>
  </si>
  <si>
    <t>1572.792684999993</t>
  </si>
  <si>
    <t>1572.7869405840174</t>
  </si>
  <si>
    <t>1573.2845170840155</t>
  </si>
  <si>
    <t>1573.2891115840175</t>
  </si>
  <si>
    <t>1573.5527106249938</t>
  </si>
  <si>
    <t>1573.5563770000008</t>
  </si>
  <si>
    <t>1573.553029083996</t>
  </si>
  <si>
    <t>1574.0552047920064</t>
  </si>
  <si>
    <t>1574.338656292006</t>
  </si>
  <si>
    <t>1574.3695079169993</t>
  </si>
  <si>
    <t>0.30862683299346827</t>
  </si>
  <si>
    <t>1574.3762897920096</t>
  </si>
  <si>
    <t>1574.3698157090112</t>
  </si>
  <si>
    <t>1574.8679563750047</t>
  </si>
  <si>
    <t>1574.8718851669983</t>
  </si>
  <si>
    <t>1575.1561320000037</t>
  </si>
  <si>
    <t>2090.4449155420007</t>
  </si>
  <si>
    <t>515.5726375420054</t>
  </si>
  <si>
    <t>2090.474141167011</t>
  </si>
  <si>
    <t>2090.451542124996</t>
  </si>
  <si>
    <t>2090.945789791993</t>
  </si>
  <si>
    <t>2090.961806959007</t>
  </si>
  <si>
    <t>2091.2417570420075</t>
  </si>
  <si>
    <t>2091.495712667005</t>
  </si>
  <si>
    <t>0.5467725000053179</t>
  </si>
  <si>
    <t>2091.508437874989</t>
  </si>
  <si>
    <t>2091.495814541995</t>
  </si>
  <si>
    <t>2091.9917107500078</t>
  </si>
  <si>
    <t>2091.995022459014</t>
  </si>
  <si>
    <t>2092.2782559170155</t>
  </si>
  <si>
    <t>2092.575287292013</t>
  </si>
  <si>
    <t>2092.579706999997</t>
  </si>
  <si>
    <t>2092.575398999994</t>
  </si>
  <si>
    <t>2093.061615667015</t>
  </si>
  <si>
    <t>2093.078152959002</t>
  </si>
  <si>
    <t>2093.3582832090033</t>
  </si>
  <si>
    <t>0.5977898749988526</t>
  </si>
  <si>
    <t>2093.6749608750106</t>
  </si>
  <si>
    <t>2093.662487541995</t>
  </si>
  <si>
    <t>2094.158259958989</t>
  </si>
  <si>
    <t>2094.1617705840035</t>
  </si>
  <si>
    <t>2094.444927042001</t>
  </si>
  <si>
    <t>2094.7285027499893</t>
  </si>
  <si>
    <t>0.5680807080061641</t>
  </si>
  <si>
    <t>2094.7412875000155</t>
  </si>
  <si>
    <t>2094.728604542004</t>
  </si>
  <si>
    <t>2095.2248530419893</t>
  </si>
  <si>
    <t>2095.2280605419946</t>
  </si>
  <si>
    <t>2095.511280042003</t>
  </si>
  <si>
    <t>0.5614452910085674</t>
  </si>
  <si>
    <t>2095.796154917014</t>
  </si>
  <si>
    <t>2095.791850959009</t>
  </si>
  <si>
    <t>2096.2781372090103</t>
  </si>
  <si>
    <t>2096.294768708991</t>
  </si>
  <si>
    <t>2096.5747835419897</t>
  </si>
  <si>
    <t>2096.811655833997</t>
  </si>
  <si>
    <t>0.5310364589968231</t>
  </si>
  <si>
    <t>2096.824523084011</t>
  </si>
  <si>
    <t>2096.8117590839975</t>
  </si>
  <si>
    <t>2097.3080809169915</t>
  </si>
  <si>
    <t>2097.3117711670056</t>
  </si>
  <si>
    <t>2097.5950372499938</t>
  </si>
  <si>
    <t>2098.025191374996</t>
  </si>
  <si>
    <t>0.7141402919951361</t>
  </si>
  <si>
    <t>2098.0284296669997</t>
  </si>
  <si>
    <t>2098.0253012090106</t>
  </si>
  <si>
    <t>2098.511211792007</t>
  </si>
  <si>
    <t>2098.524690624996</t>
  </si>
  <si>
    <t>2098.8080302500166</t>
  </si>
  <si>
    <t>2099.0085113340174</t>
  </si>
  <si>
    <t>0.4848623330180999</t>
  </si>
  <si>
    <t>2099.013165250013</t>
  </si>
  <si>
    <t>2099.0086127920076</t>
  </si>
  <si>
    <t>2099.494518791995</t>
  </si>
  <si>
    <t>2099.511287250003</t>
  </si>
  <si>
    <t>2099.790981041995</t>
  </si>
  <si>
    <t>2099.991726459004</t>
  </si>
  <si>
    <t>0.4864278750028461</t>
  </si>
  <si>
    <t>2099.9959680839966</t>
  </si>
  <si>
    <t>2099.991830209008</t>
  </si>
  <si>
    <t>2100.477736583998</t>
  </si>
  <si>
    <t>2100.494262958993</t>
  </si>
  <si>
    <t>2100.774266291992</t>
  </si>
  <si>
    <t>2101.108352750016</t>
  </si>
  <si>
    <t>2101.112507834012</t>
  </si>
  <si>
    <t>2101.108455917012</t>
  </si>
  <si>
    <t>2101.594305250008</t>
  </si>
  <si>
    <t>2101.611339791998</t>
  </si>
  <si>
    <t>2101.891150999989</t>
  </si>
  <si>
    <t>2102.108276999992</t>
  </si>
  <si>
    <t>0.5085307080007624</t>
  </si>
  <si>
    <t>2102.1125355419936</t>
  </si>
  <si>
    <t>2102.108374750009</t>
  </si>
  <si>
    <t>2102.5948875840113</t>
  </si>
  <si>
    <t>2102.6075101669994</t>
  </si>
  <si>
    <t>2102.8911011670134</t>
  </si>
  <si>
    <t>2103.0248854999954</t>
  </si>
  <si>
    <t>0.4199371249997057</t>
  </si>
  <si>
    <t>2103.0291030840017</t>
  </si>
  <si>
    <t>2103.510865167016</t>
  </si>
  <si>
    <t>2103.5276650419983</t>
  </si>
  <si>
    <t>2103.8074435419985</t>
  </si>
  <si>
    <t>2104.058139458997</t>
  </si>
  <si>
    <t>0.5418832919967826</t>
  </si>
  <si>
    <t>2104.0625136670133</t>
  </si>
  <si>
    <t>2104.058235042001</t>
  </si>
  <si>
    <t>2104.544379041996</t>
  </si>
  <si>
    <t>2104.561302874994</t>
  </si>
  <si>
    <t>2104.8409644170024</t>
  </si>
  <si>
    <t>2105.1078756249917</t>
  </si>
  <si>
    <t>0.5593867079878692</t>
  </si>
  <si>
    <t>2105.112736625015</t>
  </si>
  <si>
    <t>2105.107978999993</t>
  </si>
  <si>
    <t>2105.5943201250047</t>
  </si>
  <si>
    <t>2105.611408249999</t>
  </si>
  <si>
    <t>2105.8906398339896</t>
  </si>
  <si>
    <t>2106.0946502500155</t>
  </si>
  <si>
    <t>0.49732162500731647</t>
  </si>
  <si>
    <t>2106.1073185839923</t>
  </si>
  <si>
    <t>2106.094741375011</t>
  </si>
  <si>
    <t>2106.5905795000144</t>
  </si>
  <si>
    <t>2106.594170458993</t>
  </si>
  <si>
    <t>2106.8775291249913</t>
  </si>
  <si>
    <t>2107.141115000006</t>
  </si>
  <si>
    <t>0.5419619580206927</t>
  </si>
  <si>
    <t>2107.1454793750017</t>
  </si>
  <si>
    <t>2107.627284916991</t>
  </si>
  <si>
    <t>2107.643824958999</t>
  </si>
  <si>
    <t>2107.9241489999986</t>
  </si>
  <si>
    <t>2108.1243935000093</t>
  </si>
  <si>
    <t>0.48819537498638965</t>
  </si>
  <si>
    <t>2108.1244963339996</t>
  </si>
  <si>
    <t>2108.6106483750045</t>
  </si>
  <si>
    <t>2108.6273684999906</t>
  </si>
  <si>
    <t>2108.9071426670125</t>
  </si>
  <si>
    <t>2109.3245389590156</t>
  </si>
  <si>
    <t>2109.3289179590065</t>
  </si>
  <si>
    <t>2109.3246412090084</t>
  </si>
  <si>
    <t>2109.8108049170114</t>
  </si>
  <si>
    <t>2110.107352833991</t>
  </si>
  <si>
    <t>2110.3744914169947</t>
  </si>
  <si>
    <t>0.5565671669901349</t>
  </si>
  <si>
    <t>2110.3787540839985</t>
  </si>
  <si>
    <t>2110.3745897499903</t>
  </si>
  <si>
    <t>2110.8608255420113</t>
  </si>
  <si>
    <t>2110.8772418340086</t>
  </si>
  <si>
    <t>2111.1570142089913</t>
  </si>
  <si>
    <t>2111.3742230420175</t>
  </si>
  <si>
    <t>2111.378638958995</t>
  </si>
  <si>
    <t>2111.3743266669917</t>
  </si>
  <si>
    <t>2111.8607348340156</t>
  </si>
  <si>
    <t>2111.8771055839898</t>
  </si>
  <si>
    <t>2112.157257292012</t>
  </si>
  <si>
    <t>2112.524185999995</t>
  </si>
  <si>
    <t>0.6534225829818752</t>
  </si>
  <si>
    <t>2112.5285035000124</t>
  </si>
  <si>
    <t>2112.524282333994</t>
  </si>
  <si>
    <t>2113.010485000006</t>
  </si>
  <si>
    <t>2113.027483667014</t>
  </si>
  <si>
    <t>2113.3069176670106</t>
  </si>
  <si>
    <t>2113.6441042500082</t>
  </si>
  <si>
    <t>0.6326954590040259</t>
  </si>
  <si>
    <t>2113.6571862089913</t>
  </si>
  <si>
    <t>2113.644204125012</t>
  </si>
  <si>
    <t>2114.1404808750085</t>
  </si>
  <si>
    <t>2114.1437428749923</t>
  </si>
  <si>
    <t>2114.427532333997</t>
  </si>
  <si>
    <t>2114.791230917006</t>
  </si>
  <si>
    <t>0.6455917500134092</t>
  </si>
  <si>
    <t>2114.7952251670067</t>
  </si>
  <si>
    <t>2114.7913368750014</t>
  </si>
  <si>
    <t>2115.277801209013</t>
  </si>
  <si>
    <t>2115.2909997090173</t>
  </si>
  <si>
    <t>2115.574470499996</t>
  </si>
  <si>
    <t>2115.8632696669956</t>
  </si>
  <si>
    <t>0.5802710829884745</t>
  </si>
  <si>
    <t>2115.8634557090118</t>
  </si>
  <si>
    <t>2116.362474416994</t>
  </si>
  <si>
    <t>2116.657792709011</t>
  </si>
  <si>
    <t>2116.9759474589955</t>
  </si>
  <si>
    <t>0.6077807080000639</t>
  </si>
  <si>
    <t>2116.9822486249905</t>
  </si>
  <si>
    <t>2116.976278584014</t>
  </si>
  <si>
    <t>2117.474495125003</t>
  </si>
  <si>
    <t>2117.478613000014</t>
  </si>
  <si>
    <t>2117.7621786250093</t>
  </si>
  <si>
    <t>2118.062916499999</t>
  </si>
  <si>
    <t>0.5834355000115465</t>
  </si>
  <si>
    <t>2118.0742661250115</t>
  </si>
  <si>
    <t>2118.063187958993</t>
  </si>
  <si>
    <t>2118.557788417005</t>
  </si>
  <si>
    <t>2118.5619239590014</t>
  </si>
  <si>
    <t>2118.8451662500156</t>
  </si>
  <si>
    <t>2119.125923542015</t>
  </si>
  <si>
    <t>2119.133226667007</t>
  </si>
  <si>
    <t>2119.1262700420048</t>
  </si>
  <si>
    <t>2119.6242768749944</t>
  </si>
  <si>
    <t>2119.629543499992</t>
  </si>
  <si>
    <t>2119.911758500006</t>
  </si>
  <si>
    <t>2120.192457666999</t>
  </si>
  <si>
    <t>0.5544905829883646</t>
  </si>
  <si>
    <t>2120.1996509169985</t>
  </si>
  <si>
    <t>2120.192802167003</t>
  </si>
  <si>
    <t>2120.690972125012</t>
  </si>
  <si>
    <t>2120.6948578339943</t>
  </si>
  <si>
    <t>2120.9784221250156</t>
  </si>
  <si>
    <t>2121.292583625007</t>
  </si>
  <si>
    <t>0.5916827080072835</t>
  </si>
  <si>
    <t>2121.299436625006</t>
  </si>
  <si>
    <t>2121.2929258749937</t>
  </si>
  <si>
    <t>2121.790774958994</t>
  </si>
  <si>
    <t>2121.7951385420165</t>
  </si>
  <si>
    <t>2122.0781008340127</t>
  </si>
  <si>
    <t>2122.2594062499993</t>
  </si>
  <si>
    <t>0.4589028339833021</t>
  </si>
  <si>
    <t>2122.2661377920012</t>
  </si>
  <si>
    <t>2122.2597406250134</t>
  </si>
  <si>
    <t>2122.757550167007</t>
  </si>
  <si>
    <t>2122.7622470839997</t>
  </si>
  <si>
    <t>2123.0442949169956</t>
  </si>
  <si>
    <t>2123.3258382499916</t>
  </si>
  <si>
    <t>0.5560386249853764</t>
  </si>
  <si>
    <t>2123.3334495419986</t>
  </si>
  <si>
    <t>2123.3261852090072</t>
  </si>
  <si>
    <t>2123.824256833992</t>
  </si>
  <si>
    <t>2123.828297166998</t>
  </si>
  <si>
    <t>2124.1115042500023</t>
  </si>
  <si>
    <t>2124.4258281670045</t>
  </si>
  <si>
    <t>0.5945152089989278</t>
  </si>
  <si>
    <t>2124.4322667499946</t>
  </si>
  <si>
    <t>2124.426197166991</t>
  </si>
  <si>
    <t>2124.9256056250015</t>
  </si>
  <si>
    <t>2124.9412033749977</t>
  </si>
  <si>
    <t>2125.2242295420147</t>
  </si>
  <si>
    <t>2125.6243993340177</t>
  </si>
  <si>
    <t>0.6858923750114627</t>
  </si>
  <si>
    <t>2125.630866249994</t>
  </si>
  <si>
    <t>2125.6247389170167</t>
  </si>
  <si>
    <t>2126.1117578750127</t>
  </si>
  <si>
    <t>2126.1282966250146</t>
  </si>
  <si>
    <t>2126.407536999992</t>
  </si>
  <si>
    <t>2126.8090598749986</t>
  </si>
  <si>
    <t>0.6846713330014609</t>
  </si>
  <si>
    <t>2126.815790666995</t>
  </si>
  <si>
    <t>2126.809444167011</t>
  </si>
  <si>
    <t>2127.3072610840027</t>
  </si>
  <si>
    <t>2127.5952125420154</t>
  </si>
  <si>
    <t>2127.9088004170044</t>
  </si>
  <si>
    <t>0.5900899579864927</t>
  </si>
  <si>
    <t>2127.915928625007</t>
  </si>
  <si>
    <t>2127.909156000009</t>
  </si>
  <si>
    <t>2128.407274750003</t>
  </si>
  <si>
    <t>2128.411651292001</t>
  </si>
  <si>
    <t>2128.6945379590034</t>
  </si>
  <si>
    <t>2128.9460383749974</t>
  </si>
  <si>
    <t>0.5350252079952043</t>
  </si>
  <si>
    <t>2128.957234500005</t>
  </si>
  <si>
    <t>2128.946303500008</t>
  </si>
  <si>
    <t>2129.444767084002</t>
  </si>
  <si>
    <t>2129.7405134169967</t>
  </si>
  <si>
    <t>2130.0788529590063</t>
  </si>
  <si>
    <t>0.6304622500028927</t>
  </si>
  <si>
    <t>2130.090502584004</t>
  </si>
  <si>
    <t>2130.0790316670027</t>
  </si>
  <si>
    <t>2130.573971750011</t>
  </si>
  <si>
    <t>2130.5781045420154</t>
  </si>
  <si>
    <t>2130.8613706250035</t>
  </si>
  <si>
    <t>2131.209000792005</t>
  </si>
  <si>
    <t>0.6241869579826016</t>
  </si>
  <si>
    <t>2131.2162255840085</t>
  </si>
  <si>
    <t>2131.209386750008</t>
  </si>
  <si>
    <t>2131.7069737089914</t>
  </si>
  <si>
    <t>2131.7110964170133</t>
  </si>
  <si>
    <t>2131.9947572500096</t>
  </si>
  <si>
    <t>2132.325473917008</t>
  </si>
  <si>
    <t>0.6051175000029616</t>
  </si>
  <si>
    <t>2132.3321598340117</t>
  </si>
  <si>
    <t>2132.325796167017</t>
  </si>
  <si>
    <t>2132.8237493750057</t>
  </si>
  <si>
    <t>2132.828090750001</t>
  </si>
  <si>
    <t>2133.1114787090046</t>
  </si>
  <si>
    <t>2133.475963083998</t>
  </si>
  <si>
    <t>0.6476837090158369</t>
  </si>
  <si>
    <t>2133.479650958994</t>
  </si>
  <si>
    <t>2133.476241583994</t>
  </si>
  <si>
    <t>2133.973784583999</t>
  </si>
  <si>
    <t>2133.9780344169994</t>
  </si>
  <si>
    <t>2134.261580624996</t>
  </si>
  <si>
    <t>2134.691924542014</t>
  </si>
  <si>
    <t>2134.6989267920144</t>
  </si>
  <si>
    <t>2134.6922518339998</t>
  </si>
  <si>
    <t>2135.190492791997</t>
  </si>
  <si>
    <t>2135.194665209012</t>
  </si>
  <si>
    <t>2135.4778578749974</t>
  </si>
  <si>
    <t>2135.8420254999946</t>
  </si>
  <si>
    <t>0.6426660839933902</t>
  </si>
  <si>
    <t>2135.845494459005</t>
  </si>
  <si>
    <t>2135.842419291992</t>
  </si>
  <si>
    <t>2136.3404625419935</t>
  </si>
  <si>
    <t>2136.344389917009</t>
  </si>
  <si>
    <t>2136.627543834009</t>
  </si>
  <si>
    <t>2137.0918996249966</t>
  </si>
  <si>
    <t>0.7458991250023246</t>
  </si>
  <si>
    <t>2137.0985397500044</t>
  </si>
  <si>
    <t>2137.092212834017</t>
  </si>
  <si>
    <t>2137.5902826669917</t>
  </si>
  <si>
    <t>2137.594379999995</t>
  </si>
  <si>
    <t>2137.8777148750087</t>
  </si>
  <si>
    <t>0.6618831249943469</t>
  </si>
  <si>
    <t>2138.265269249998</t>
  </si>
  <si>
    <t>2138.2589527920063</t>
  </si>
  <si>
    <t>2138.7569448339927</t>
  </si>
  <si>
    <t>2138.7611447919917</t>
  </si>
  <si>
    <t>2139.044313749997</t>
  </si>
  <si>
    <t>2139.2919149170048</t>
  </si>
  <si>
    <t>0.5228815840091556</t>
  </si>
  <si>
    <t>2139.2987438339915</t>
  </si>
  <si>
    <t>2139.2922739170026</t>
  </si>
  <si>
    <t>2139.790230624989</t>
  </si>
  <si>
    <t>2139.794397791993</t>
  </si>
  <si>
    <t>2140.0776490000135</t>
  </si>
  <si>
    <t>2140.445418791991</t>
  </si>
  <si>
    <t>0.6506124580046162</t>
  </si>
  <si>
    <t>2140.4565957919986</t>
  </si>
  <si>
    <t>2140.445604959008</t>
  </si>
  <si>
    <t>2140.944488875015</t>
  </si>
  <si>
    <t>2141.240221667016</t>
  </si>
  <si>
    <t>2141.608526541997</t>
  </si>
  <si>
    <t>0.6576622920110822</t>
  </si>
  <si>
    <t>2141.611518459016</t>
  </si>
  <si>
    <t>2141.608921542007</t>
  </si>
  <si>
    <t>2142.106760291994</t>
  </si>
  <si>
    <t>2142.3942239170137</t>
  </si>
  <si>
    <t>0.7058922919968609</t>
  </si>
  <si>
    <t>2142.8319303750177</t>
  </si>
  <si>
    <t>2142.825685042015</t>
  </si>
  <si>
    <t>2143.3234874999907</t>
  </si>
  <si>
    <t>2143.327499375009</t>
  </si>
  <si>
    <t>2143.611281084013</t>
  </si>
  <si>
    <t>2143.8752668340167</t>
  </si>
  <si>
    <t>0.5391510000044946</t>
  </si>
  <si>
    <t>2143.881712750008</t>
  </si>
  <si>
    <t>2143.8756259169895</t>
  </si>
  <si>
    <t>2144.3734518339916</t>
  </si>
  <si>
    <t>2144.3776689590013</t>
  </si>
  <si>
    <t>2144.6609325000027</t>
  </si>
  <si>
    <t>2144.791660624993</t>
  </si>
  <si>
    <t>0.4154415410012007</t>
  </si>
  <si>
    <t>2144.7954952500004</t>
  </si>
  <si>
    <t>2144.791955374996</t>
  </si>
  <si>
    <t>2145.2901943339966</t>
  </si>
  <si>
    <t>2145.2944621249917</t>
  </si>
  <si>
    <t>2145.577497166989</t>
  </si>
  <si>
    <t>2145.8283731249976</t>
  </si>
  <si>
    <t>0.5343641250219662</t>
  </si>
  <si>
    <t>2145.8402358750172</t>
  </si>
  <si>
    <t>2145.8285518340126</t>
  </si>
  <si>
    <t>2146.3282257500105</t>
  </si>
  <si>
    <t>2146.6234932090156</t>
  </si>
  <si>
    <t>0.6853516249975655</t>
  </si>
  <si>
    <t>2147.031940084009</t>
  </si>
  <si>
    <t>2147.025642084016</t>
  </si>
  <si>
    <t>2147.523488292005</t>
  </si>
  <si>
    <t>2147.5270492089912</t>
  </si>
  <si>
    <t>2147.8110757090035</t>
  </si>
  <si>
    <t>2148.141779958998</t>
  </si>
  <si>
    <t>0.6070073329901788</t>
  </si>
  <si>
    <t>2148.1489902090107</t>
  </si>
  <si>
    <t>2148.1421431250055</t>
  </si>
  <si>
    <t>2148.6402332920115</t>
  </si>
  <si>
    <t>2148.6443110420078</t>
  </si>
  <si>
    <t>2148.927387333999</t>
  </si>
  <si>
    <t>2149.1413503749936</t>
  </si>
  <si>
    <t>0.48917762498604134</t>
  </si>
  <si>
    <t>2149.148302000016</t>
  </si>
  <si>
    <t>2149.1416624590056</t>
  </si>
  <si>
    <t>2149.640004999994</t>
  </si>
  <si>
    <t>2149.6439750000136</t>
  </si>
  <si>
    <t>2149.9276302090148</t>
  </si>
  <si>
    <t>2150.175036875007</t>
  </si>
  <si>
    <t>0.5266514170216396</t>
  </si>
  <si>
    <t>2150.1807573749975</t>
  </si>
  <si>
    <t>2150.1753720419947</t>
  </si>
  <si>
    <t>2150.673497459007</t>
  </si>
  <si>
    <t>2150.677873125009</t>
  </si>
  <si>
    <t>2151.2616275000037</t>
  </si>
  <si>
    <t>0.5868779579759575</t>
  </si>
  <si>
    <t>2151.2735351250158</t>
  </si>
  <si>
    <t>2151.2617154170002</t>
  </si>
  <si>
    <t>2152.056803125015</t>
  </si>
  <si>
    <t>2152.5086832499946</t>
  </si>
  <si>
    <t>0.7417707089916803</t>
  </si>
  <si>
    <t>2152.5160650420003</t>
  </si>
  <si>
    <t>2152.509021667007</t>
  </si>
  <si>
    <t>2153.0067545839993</t>
  </si>
  <si>
    <t>2153.010526375001</t>
  </si>
  <si>
    <t>2153.294090875017</t>
  </si>
  <si>
    <t>2153.7279443340085</t>
  </si>
  <si>
    <t>0.7195557910017669</t>
  </si>
  <si>
    <t>2153.740222124994</t>
  </si>
  <si>
    <t>2153.728031125007</t>
  </si>
  <si>
    <t>2154.223285667016</t>
  </si>
  <si>
    <t>2154.2273527090147</t>
  </si>
  <si>
    <t>2154.8084012499894</t>
  </si>
  <si>
    <t>0.5792835000029299</t>
  </si>
  <si>
    <t>2154.813076624996</t>
  </si>
  <si>
    <t>2154.808740709006</t>
  </si>
  <si>
    <t>2155.3065415839956</t>
  </si>
  <si>
    <t>2155.310646625003</t>
  </si>
  <si>
    <t>2155.5945825419913</t>
  </si>
  <si>
    <t>2155.9957702500105</t>
  </si>
  <si>
    <t>0.6867074580222834</t>
  </si>
  <si>
    <t>2156.0064390420157</t>
  </si>
  <si>
    <t>2155.996110542008</t>
  </si>
  <si>
    <t>2156.494824041991</t>
  </si>
  <si>
    <t>2156.7897734169965</t>
  </si>
  <si>
    <t>2157.3616374999983</t>
  </si>
  <si>
    <t>0.8644126250001136</t>
  </si>
  <si>
    <t>2157.3732070419937</t>
  </si>
  <si>
    <t>2157.3617266250076</t>
  </si>
  <si>
    <t>2157.861286208994</t>
  </si>
  <si>
    <t>2158.1564982089913</t>
  </si>
  <si>
    <t>2158.3581351250177</t>
  </si>
  <si>
    <t>0.48697625001659617</t>
  </si>
  <si>
    <t>2158.363596625015</t>
  </si>
  <si>
    <t>2158.3584428339964</t>
  </si>
  <si>
    <t>2158.8565162500017</t>
  </si>
  <si>
    <t>2158.860564750008</t>
  </si>
  <si>
    <t>2159.4244075840106</t>
  </si>
  <si>
    <t>0.5630031670152675</t>
  </si>
  <si>
    <t>2159.4316798340005</t>
  </si>
  <si>
    <t>2159.4247450419934</t>
  </si>
  <si>
    <t>2159.9234657500056</t>
  </si>
  <si>
    <t>2160.210542667017</t>
  </si>
  <si>
    <t>2160.507924000005</t>
  </si>
  <si>
    <t>0.5809509579848964</t>
  </si>
  <si>
    <t>2160.511575667013</t>
  </si>
  <si>
    <t>2160.508218959003</t>
  </si>
  <si>
    <t>2161.0067333749903</t>
  </si>
  <si>
    <t>2161.2947794590145</t>
  </si>
  <si>
    <t>2161.578138459008</t>
  </si>
  <si>
    <t>0.5604347080225125</t>
  </si>
  <si>
    <t>2161.589782916999</t>
  </si>
  <si>
    <t>2161.5782300840074</t>
  </si>
  <si>
    <t>2162.0732337500085</t>
  </si>
  <si>
    <t>2162.0772796669917</t>
  </si>
  <si>
    <t>2162.3607262500154</t>
  </si>
  <si>
    <t>2162.5748611669987</t>
  </si>
  <si>
    <t>0.48981599998660386</t>
  </si>
  <si>
    <t>2162.5822553749895</t>
  </si>
  <si>
    <t>2162.5751912500127</t>
  </si>
  <si>
    <t>2163.073227999994</t>
  </si>
  <si>
    <t>2163.0773989169975</t>
  </si>
  <si>
    <t>2163.3607474169985</t>
  </si>
  <si>
    <t>2163.608365708991</t>
  </si>
  <si>
    <t>0.5247598339919932</t>
  </si>
  <si>
    <t>2163.615505374997</t>
  </si>
  <si>
    <t>2163.6087297500053</t>
  </si>
  <si>
    <t>2164.1064532920136</t>
  </si>
  <si>
    <t>2164.3938094589976</t>
  </si>
  <si>
    <t>0.5905402499774937</t>
  </si>
  <si>
    <t>0.5627033750060946</t>
  </si>
  <si>
    <t xml:space="preserve">REVERSAL </t>
  </si>
  <si>
    <t>SD RT</t>
  </si>
  <si>
    <t>MEAN RT</t>
  </si>
  <si>
    <t>ACCURACY</t>
  </si>
  <si>
    <t xml:space="preserve">THRESHOLD </t>
  </si>
  <si>
    <t xml:space="preserve">TOTAL TRIALS  </t>
  </si>
  <si>
    <t>100</t>
  </si>
  <si>
    <t xml:space="preserve">figure 1 : tilt of grafting across trials </t>
  </si>
  <si>
    <t xml:space="preserve">figure 2 : response accuracy across trials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</si>
</sst>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3"/>
      <color theme="1"/>
      <name val=".SF NS"/>
    </font>
    <font>
      <b/>
      <sz val="7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quotePrefix="1" applyNumberFormat="1"/>
    <xf numFmtId="9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101600</xdr:rowOff>
    </xdr:to>
    <xdr:sp macro="" textlink="">
      <xdr:nvSpPr>
        <xdr:cNvPr id="4097" name="AutoShape 1" descr="Output image">
          <a:extLst>
            <a:ext uri="{FF2B5EF4-FFF2-40B4-BE49-F238E27FC236}">
              <a16:creationId xmlns:a16="http://schemas.microsoft.com/office/drawing/2014/main" id="{AB33E9DC-DE0D-AF8E-7C82-B4AF5352619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" name="AutoShape 1" descr="Output image">
          <a:extLst>
            <a:ext uri="{FF2B5EF4-FFF2-40B4-BE49-F238E27FC236}">
              <a16:creationId xmlns:a16="http://schemas.microsoft.com/office/drawing/2014/main" id="{E29E26EC-42F3-A04B-8496-D7D24CD8F31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" name="AutoShape 1" descr="Output image">
          <a:extLst>
            <a:ext uri="{FF2B5EF4-FFF2-40B4-BE49-F238E27FC236}">
              <a16:creationId xmlns:a16="http://schemas.microsoft.com/office/drawing/2014/main" id="{0A5D3AF5-398E-0640-B05B-B2069107605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4" name="AutoShape 1" descr="Output image">
          <a:extLst>
            <a:ext uri="{FF2B5EF4-FFF2-40B4-BE49-F238E27FC236}">
              <a16:creationId xmlns:a16="http://schemas.microsoft.com/office/drawing/2014/main" id="{B91297D8-69B7-154B-BDF3-2DAFC61ED67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5" name="AutoShape 1" descr="Output image">
          <a:extLst>
            <a:ext uri="{FF2B5EF4-FFF2-40B4-BE49-F238E27FC236}">
              <a16:creationId xmlns:a16="http://schemas.microsoft.com/office/drawing/2014/main" id="{1B2A5BF2-93FD-CA4F-BC8E-5473208E320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6" name="AutoShape 1" descr="Output image">
          <a:extLst>
            <a:ext uri="{FF2B5EF4-FFF2-40B4-BE49-F238E27FC236}">
              <a16:creationId xmlns:a16="http://schemas.microsoft.com/office/drawing/2014/main" id="{B980076C-DEF4-A746-9516-1E1A6DBE958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0</xdr:row>
      <xdr:rowOff>0</xdr:rowOff>
    </xdr:from>
    <xdr:ext cx="304800" cy="304800"/>
    <xdr:sp macro="" textlink="">
      <xdr:nvSpPr>
        <xdr:cNvPr id="7" name="AutoShape 1" descr="Output image">
          <a:extLst>
            <a:ext uri="{FF2B5EF4-FFF2-40B4-BE49-F238E27FC236}">
              <a16:creationId xmlns:a16="http://schemas.microsoft.com/office/drawing/2014/main" id="{64026BF3-DF07-9D4F-AE98-97C2E62B5CF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101600</xdr:rowOff>
    </xdr:to>
    <xdr:sp macro="" textlink="">
      <xdr:nvSpPr>
        <xdr:cNvPr id="4098" name="AutoShape 2" descr="Output image">
          <a:extLst>
            <a:ext uri="{FF2B5EF4-FFF2-40B4-BE49-F238E27FC236}">
              <a16:creationId xmlns:a16="http://schemas.microsoft.com/office/drawing/2014/main" id="{36BD46A7-46D7-B361-AB09-739417E1D23B}"/>
            </a:ext>
          </a:extLst>
        </xdr:cNvPr>
        <xdr:cNvSpPr>
          <a:spLocks noChangeAspect="1" noChangeArrowheads="1"/>
        </xdr:cNvSpPr>
      </xdr:nvSpPr>
      <xdr:spPr bwMode="auto">
        <a:xfrm>
          <a:off x="8255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101600</xdr:rowOff>
    </xdr:to>
    <xdr:sp macro="" textlink="">
      <xdr:nvSpPr>
        <xdr:cNvPr id="4099" name="AutoShape 3" descr="Output image">
          <a:extLst>
            <a:ext uri="{FF2B5EF4-FFF2-40B4-BE49-F238E27FC236}">
              <a16:creationId xmlns:a16="http://schemas.microsoft.com/office/drawing/2014/main" id="{0D4C74E1-AF95-AC65-075B-781F0CCD4C99}"/>
            </a:ext>
          </a:extLst>
        </xdr:cNvPr>
        <xdr:cNvSpPr>
          <a:spLocks noChangeAspect="1" noChangeArrowheads="1"/>
        </xdr:cNvSpPr>
      </xdr:nvSpPr>
      <xdr:spPr bwMode="auto">
        <a:xfrm>
          <a:off x="8255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28</xdr:col>
      <xdr:colOff>774700</xdr:colOff>
      <xdr:row>72</xdr:row>
      <xdr:rowOff>38100</xdr:rowOff>
    </xdr:to>
    <xdr:sp macro="" textlink="">
      <xdr:nvSpPr>
        <xdr:cNvPr id="4100" name="AutoShape 4" descr="Output image">
          <a:extLst>
            <a:ext uri="{FF2B5EF4-FFF2-40B4-BE49-F238E27FC236}">
              <a16:creationId xmlns:a16="http://schemas.microsoft.com/office/drawing/2014/main" id="{85DF464B-D0F8-A8BC-942B-DFBDD28EF209}"/>
            </a:ext>
          </a:extLst>
        </xdr:cNvPr>
        <xdr:cNvSpPr>
          <a:spLocks noChangeAspect="1" noChangeArrowheads="1"/>
        </xdr:cNvSpPr>
      </xdr:nvSpPr>
      <xdr:spPr bwMode="auto">
        <a:xfrm>
          <a:off x="2476500" y="2641600"/>
          <a:ext cx="21412200" cy="1202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</xdr:row>
      <xdr:rowOff>0</xdr:rowOff>
    </xdr:from>
    <xdr:to>
      <xdr:col>30</xdr:col>
      <xdr:colOff>203200</xdr:colOff>
      <xdr:row>116</xdr:row>
      <xdr:rowOff>38100</xdr:rowOff>
    </xdr:to>
    <xdr:sp macro="" textlink="">
      <xdr:nvSpPr>
        <xdr:cNvPr id="4101" name="AutoShape 5" descr="Output image">
          <a:extLst>
            <a:ext uri="{FF2B5EF4-FFF2-40B4-BE49-F238E27FC236}">
              <a16:creationId xmlns:a16="http://schemas.microsoft.com/office/drawing/2014/main" id="{108CD9B0-6C3C-3A58-0CCD-7C1D538506CE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1582400"/>
          <a:ext cx="22491700" cy="1202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11</xdr:col>
      <xdr:colOff>342900</xdr:colOff>
      <xdr:row>26</xdr:row>
      <xdr:rowOff>93826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78D3E22-1C1B-1F24-4975-19059F124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" y="1016000"/>
          <a:ext cx="7772400" cy="436102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11</xdr:col>
      <xdr:colOff>342900</xdr:colOff>
      <xdr:row>50</xdr:row>
      <xdr:rowOff>90062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35BC349-3ABE-806A-9748-FF3F777B1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1000" y="6096000"/>
          <a:ext cx="7772400" cy="41540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90A4F-1CED-CB43-A6E7-209246C9690E}" name="Table1" displayName="Table1" ref="A1:B6" totalsRowShown="0">
  <autoFilter ref="A1:B6" xr:uid="{97290A4F-1CED-CB43-A6E7-209246C9690E}"/>
  <tableColumns count="2">
    <tableColumn id="1" xr3:uid="{E6E49ABE-37AF-8047-9684-C9D7AE638113}" name="TOTAL TRIALS  "/>
    <tableColumn id="2" xr3:uid="{2F5D27FA-2634-3E41-955A-C3F00533BBE9}" name="1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676E-B5B8-7C4C-A2D3-FC0967D4030D}">
  <dimension ref="A1:V101"/>
  <sheetViews>
    <sheetView workbookViewId="0">
      <selection activeCell="I18" sqref="I18"/>
    </sheetView>
  </sheetViews>
  <sheetFormatPr baseColWidth="10" defaultRowHeight="16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0</v>
      </c>
      <c r="B2">
        <v>2</v>
      </c>
      <c r="C2">
        <v>10</v>
      </c>
      <c r="D2" s="1" t="s">
        <v>22</v>
      </c>
      <c r="E2">
        <v>5.7787499972619099E-3</v>
      </c>
      <c r="F2" s="1" t="s">
        <v>22</v>
      </c>
      <c r="G2" s="1" t="s">
        <v>23</v>
      </c>
      <c r="H2" s="1" t="s">
        <v>23</v>
      </c>
      <c r="I2" s="1" t="s">
        <v>24</v>
      </c>
      <c r="J2" s="1" t="s">
        <v>25</v>
      </c>
      <c r="K2" s="1" t="s">
        <v>26</v>
      </c>
      <c r="L2">
        <v>0</v>
      </c>
      <c r="M2" s="1" t="s">
        <v>27</v>
      </c>
      <c r="N2">
        <v>186454</v>
      </c>
      <c r="O2" s="1" t="s">
        <v>28</v>
      </c>
      <c r="P2" t="s">
        <v>29</v>
      </c>
      <c r="Q2" t="s">
        <v>30</v>
      </c>
      <c r="R2" t="s">
        <v>31</v>
      </c>
      <c r="S2" t="s">
        <v>32</v>
      </c>
      <c r="T2" s="2">
        <v>45907</v>
      </c>
      <c r="U2" t="s">
        <v>33</v>
      </c>
      <c r="V2">
        <v>530</v>
      </c>
    </row>
    <row r="3" spans="1:22">
      <c r="A3">
        <v>1</v>
      </c>
      <c r="B3">
        <v>1</v>
      </c>
      <c r="C3">
        <v>12</v>
      </c>
      <c r="D3" s="1" t="s">
        <v>34</v>
      </c>
      <c r="E3" s="1" t="s">
        <v>35</v>
      </c>
      <c r="F3" s="1" t="s">
        <v>34</v>
      </c>
      <c r="G3" s="1" t="s">
        <v>36</v>
      </c>
      <c r="H3" s="1" t="s">
        <v>36</v>
      </c>
      <c r="I3" s="1" t="s">
        <v>37</v>
      </c>
      <c r="J3" s="1" t="s">
        <v>38</v>
      </c>
      <c r="K3" s="1" t="s">
        <v>39</v>
      </c>
      <c r="L3">
        <v>1</v>
      </c>
      <c r="M3" s="1" t="s">
        <v>40</v>
      </c>
      <c r="N3">
        <v>186454</v>
      </c>
      <c r="O3" s="1" t="s">
        <v>28</v>
      </c>
      <c r="P3" t="s">
        <v>29</v>
      </c>
      <c r="Q3" t="s">
        <v>30</v>
      </c>
      <c r="R3" t="s">
        <v>31</v>
      </c>
      <c r="S3" t="s">
        <v>32</v>
      </c>
      <c r="T3" s="2">
        <v>45907</v>
      </c>
      <c r="U3" t="s">
        <v>33</v>
      </c>
      <c r="V3">
        <v>530</v>
      </c>
    </row>
    <row r="4" spans="1:22">
      <c r="A4">
        <v>2</v>
      </c>
      <c r="B4">
        <v>1</v>
      </c>
      <c r="C4">
        <v>11</v>
      </c>
      <c r="D4" s="1" t="s">
        <v>41</v>
      </c>
      <c r="E4" s="1" t="s">
        <v>42</v>
      </c>
      <c r="F4" s="1" t="s">
        <v>41</v>
      </c>
      <c r="G4" s="1" t="s">
        <v>43</v>
      </c>
      <c r="H4" s="1" t="s">
        <v>43</v>
      </c>
      <c r="I4" s="1" t="s">
        <v>43</v>
      </c>
      <c r="J4" s="1" t="s">
        <v>44</v>
      </c>
      <c r="K4" s="1" t="s">
        <v>45</v>
      </c>
      <c r="L4">
        <v>0</v>
      </c>
      <c r="M4" s="1" t="s">
        <v>46</v>
      </c>
      <c r="N4">
        <v>186454</v>
      </c>
      <c r="O4" s="1" t="s">
        <v>28</v>
      </c>
      <c r="P4" t="s">
        <v>29</v>
      </c>
      <c r="Q4" t="s">
        <v>30</v>
      </c>
      <c r="R4" t="s">
        <v>31</v>
      </c>
      <c r="S4" t="s">
        <v>32</v>
      </c>
      <c r="T4" s="2">
        <v>45907</v>
      </c>
      <c r="U4" t="s">
        <v>33</v>
      </c>
      <c r="V4">
        <v>530</v>
      </c>
    </row>
    <row r="5" spans="1:22">
      <c r="A5">
        <v>3</v>
      </c>
      <c r="B5">
        <v>1</v>
      </c>
      <c r="C5">
        <v>12</v>
      </c>
      <c r="D5" s="1" t="s">
        <v>47</v>
      </c>
      <c r="E5" s="1" t="s">
        <v>48</v>
      </c>
      <c r="F5" s="1" t="s">
        <v>47</v>
      </c>
      <c r="G5" s="1" t="s">
        <v>49</v>
      </c>
      <c r="H5" s="1" t="s">
        <v>49</v>
      </c>
      <c r="I5" s="1" t="s">
        <v>50</v>
      </c>
      <c r="J5" s="1" t="s">
        <v>51</v>
      </c>
      <c r="K5" s="1" t="s">
        <v>52</v>
      </c>
      <c r="L5">
        <v>1</v>
      </c>
      <c r="M5" s="1" t="s">
        <v>53</v>
      </c>
      <c r="N5">
        <v>186454</v>
      </c>
      <c r="O5" s="1" t="s">
        <v>28</v>
      </c>
      <c r="P5" t="s">
        <v>29</v>
      </c>
      <c r="Q5" t="s">
        <v>30</v>
      </c>
      <c r="R5" t="s">
        <v>31</v>
      </c>
      <c r="S5" t="s">
        <v>32</v>
      </c>
      <c r="T5" s="2">
        <v>45907</v>
      </c>
      <c r="U5" t="s">
        <v>33</v>
      </c>
      <c r="V5">
        <v>530</v>
      </c>
    </row>
    <row r="6" spans="1:22">
      <c r="A6">
        <v>4</v>
      </c>
      <c r="B6">
        <v>1</v>
      </c>
      <c r="C6">
        <v>12</v>
      </c>
      <c r="D6" s="1" t="s">
        <v>54</v>
      </c>
      <c r="E6" s="1" t="s">
        <v>55</v>
      </c>
      <c r="F6" s="1" t="s">
        <v>54</v>
      </c>
      <c r="G6" s="1" t="s">
        <v>56</v>
      </c>
      <c r="H6" s="1" t="s">
        <v>56</v>
      </c>
      <c r="I6" s="1" t="s">
        <v>56</v>
      </c>
      <c r="J6" s="1" t="s">
        <v>57</v>
      </c>
      <c r="K6" s="1" t="s">
        <v>58</v>
      </c>
      <c r="L6">
        <v>1</v>
      </c>
      <c r="M6" s="1" t="s">
        <v>59</v>
      </c>
      <c r="N6">
        <v>186454</v>
      </c>
      <c r="O6" s="1" t="s">
        <v>28</v>
      </c>
      <c r="P6" t="s">
        <v>29</v>
      </c>
      <c r="Q6" t="s">
        <v>30</v>
      </c>
      <c r="R6" t="s">
        <v>31</v>
      </c>
      <c r="S6" t="s">
        <v>32</v>
      </c>
      <c r="T6" s="2">
        <v>45907</v>
      </c>
      <c r="U6" t="s">
        <v>33</v>
      </c>
      <c r="V6">
        <v>530</v>
      </c>
    </row>
    <row r="7" spans="1:22">
      <c r="A7">
        <v>5</v>
      </c>
      <c r="B7">
        <v>0.5</v>
      </c>
      <c r="C7">
        <v>12</v>
      </c>
      <c r="D7" s="1" t="s">
        <v>60</v>
      </c>
      <c r="E7" s="1" t="s">
        <v>61</v>
      </c>
      <c r="F7" s="1" t="s">
        <v>60</v>
      </c>
      <c r="G7">
        <v>34.334191875008401</v>
      </c>
      <c r="H7">
        <v>34.334191875008401</v>
      </c>
      <c r="I7" s="1" t="s">
        <v>62</v>
      </c>
      <c r="J7" s="1" t="s">
        <v>63</v>
      </c>
      <c r="K7">
        <v>1</v>
      </c>
      <c r="L7" s="1">
        <v>0</v>
      </c>
      <c r="M7">
        <v>186454</v>
      </c>
      <c r="N7" s="1" t="s">
        <v>28</v>
      </c>
      <c r="O7" t="s">
        <v>29</v>
      </c>
      <c r="P7" t="s">
        <v>30</v>
      </c>
      <c r="Q7" t="s">
        <v>31</v>
      </c>
      <c r="R7" t="s">
        <v>32</v>
      </c>
      <c r="S7" s="2">
        <v>45907</v>
      </c>
      <c r="T7" t="s">
        <v>33</v>
      </c>
      <c r="U7">
        <v>530</v>
      </c>
    </row>
    <row r="8" spans="1:22">
      <c r="A8">
        <v>6</v>
      </c>
      <c r="B8">
        <v>0.5</v>
      </c>
      <c r="C8">
        <v>11.5</v>
      </c>
      <c r="D8" s="1" t="s">
        <v>64</v>
      </c>
      <c r="E8" s="1" t="s">
        <v>65</v>
      </c>
      <c r="F8" s="1" t="s">
        <v>64</v>
      </c>
      <c r="G8">
        <v>35.0887130839983</v>
      </c>
      <c r="H8">
        <v>35.0887130839983</v>
      </c>
      <c r="I8" s="1" t="s">
        <v>66</v>
      </c>
      <c r="J8" s="1" t="s">
        <v>67</v>
      </c>
      <c r="K8">
        <v>0</v>
      </c>
      <c r="L8" s="1">
        <v>0</v>
      </c>
      <c r="M8">
        <v>186454</v>
      </c>
      <c r="N8" s="1" t="s">
        <v>28</v>
      </c>
      <c r="O8" t="s">
        <v>29</v>
      </c>
      <c r="P8" t="s">
        <v>30</v>
      </c>
      <c r="Q8" t="s">
        <v>31</v>
      </c>
      <c r="R8" t="s">
        <v>32</v>
      </c>
      <c r="S8" s="2">
        <v>45907</v>
      </c>
      <c r="T8" t="s">
        <v>33</v>
      </c>
      <c r="U8">
        <v>530</v>
      </c>
    </row>
    <row r="9" spans="1:22">
      <c r="A9">
        <v>7</v>
      </c>
      <c r="B9">
        <v>0.5</v>
      </c>
      <c r="C9">
        <v>12</v>
      </c>
      <c r="D9" s="1" t="s">
        <v>68</v>
      </c>
      <c r="E9" s="1" t="s">
        <v>69</v>
      </c>
      <c r="F9" s="1" t="s">
        <v>68</v>
      </c>
      <c r="G9" s="1" t="s">
        <v>70</v>
      </c>
      <c r="H9" s="1" t="s">
        <v>70</v>
      </c>
      <c r="I9" s="1" t="s">
        <v>71</v>
      </c>
      <c r="J9" s="1" t="s">
        <v>72</v>
      </c>
      <c r="K9" s="1" t="s">
        <v>73</v>
      </c>
      <c r="L9">
        <v>0</v>
      </c>
      <c r="M9" s="1" t="s">
        <v>74</v>
      </c>
      <c r="N9">
        <v>186454</v>
      </c>
      <c r="O9" s="1" t="s">
        <v>28</v>
      </c>
      <c r="P9" t="s">
        <v>29</v>
      </c>
      <c r="Q9" t="s">
        <v>30</v>
      </c>
      <c r="R9" t="s">
        <v>31</v>
      </c>
      <c r="S9" t="s">
        <v>32</v>
      </c>
      <c r="T9" s="2">
        <v>45907</v>
      </c>
      <c r="U9" t="s">
        <v>33</v>
      </c>
      <c r="V9">
        <v>530</v>
      </c>
    </row>
    <row r="10" spans="1:22">
      <c r="A10">
        <v>8</v>
      </c>
      <c r="B10">
        <v>0.5</v>
      </c>
      <c r="C10">
        <v>12.5</v>
      </c>
      <c r="D10" s="1" t="s">
        <v>72</v>
      </c>
      <c r="E10" s="1" t="s">
        <v>75</v>
      </c>
      <c r="F10" s="1" t="s">
        <v>72</v>
      </c>
      <c r="G10" s="1" t="s">
        <v>76</v>
      </c>
      <c r="H10" s="1" t="s">
        <v>76</v>
      </c>
      <c r="I10" s="1" t="s">
        <v>77</v>
      </c>
      <c r="J10" s="1" t="s">
        <v>78</v>
      </c>
      <c r="K10" s="1" t="s">
        <v>79</v>
      </c>
      <c r="L10">
        <v>1</v>
      </c>
      <c r="M10" s="1" t="s">
        <v>80</v>
      </c>
      <c r="N10">
        <v>186454</v>
      </c>
      <c r="O10" s="1" t="s">
        <v>28</v>
      </c>
      <c r="P10" t="s">
        <v>29</v>
      </c>
      <c r="Q10" t="s">
        <v>30</v>
      </c>
      <c r="R10" t="s">
        <v>31</v>
      </c>
      <c r="S10" t="s">
        <v>32</v>
      </c>
      <c r="T10" s="2">
        <v>45907</v>
      </c>
      <c r="U10" t="s">
        <v>33</v>
      </c>
      <c r="V10">
        <v>530</v>
      </c>
    </row>
    <row r="11" spans="1:22">
      <c r="A11">
        <v>9</v>
      </c>
      <c r="B11">
        <v>0.5</v>
      </c>
      <c r="C11">
        <v>12.5</v>
      </c>
      <c r="D11" s="1" t="s">
        <v>81</v>
      </c>
      <c r="E11" s="1" t="s">
        <v>82</v>
      </c>
      <c r="F11" s="1" t="s">
        <v>81</v>
      </c>
      <c r="G11" s="1" t="s">
        <v>83</v>
      </c>
      <c r="H11" s="1" t="s">
        <v>83</v>
      </c>
      <c r="I11" s="1" t="s">
        <v>84</v>
      </c>
      <c r="J11" s="1" t="s">
        <v>85</v>
      </c>
      <c r="K11" s="1" t="s">
        <v>86</v>
      </c>
      <c r="L11">
        <v>1</v>
      </c>
      <c r="M11" s="1" t="s">
        <v>87</v>
      </c>
      <c r="N11">
        <v>186454</v>
      </c>
      <c r="O11" s="1" t="s">
        <v>28</v>
      </c>
      <c r="P11" t="s">
        <v>29</v>
      </c>
      <c r="Q11" t="s">
        <v>30</v>
      </c>
      <c r="R11" t="s">
        <v>31</v>
      </c>
      <c r="S11" t="s">
        <v>32</v>
      </c>
      <c r="T11" s="2">
        <v>45907</v>
      </c>
      <c r="U11" t="s">
        <v>33</v>
      </c>
      <c r="V11">
        <v>530</v>
      </c>
    </row>
    <row r="12" spans="1:22">
      <c r="A12">
        <v>10</v>
      </c>
      <c r="B12">
        <v>0.5</v>
      </c>
      <c r="C12">
        <v>12.5</v>
      </c>
      <c r="D12" s="1" t="s">
        <v>88</v>
      </c>
      <c r="E12" s="1" t="s">
        <v>89</v>
      </c>
      <c r="F12" s="1" t="s">
        <v>88</v>
      </c>
      <c r="G12" s="1" t="s">
        <v>90</v>
      </c>
      <c r="H12" s="1" t="s">
        <v>90</v>
      </c>
      <c r="I12" s="1" t="s">
        <v>91</v>
      </c>
      <c r="J12" s="1" t="s">
        <v>92</v>
      </c>
      <c r="K12" s="1" t="s">
        <v>93</v>
      </c>
      <c r="L12">
        <v>1</v>
      </c>
      <c r="M12" s="1" t="s">
        <v>94</v>
      </c>
      <c r="N12">
        <v>186454</v>
      </c>
      <c r="O12" s="1" t="s">
        <v>28</v>
      </c>
      <c r="P12" t="s">
        <v>29</v>
      </c>
      <c r="Q12" t="s">
        <v>30</v>
      </c>
      <c r="R12" t="s">
        <v>31</v>
      </c>
      <c r="S12" t="s">
        <v>32</v>
      </c>
      <c r="T12" s="2">
        <v>45907</v>
      </c>
      <c r="U12" t="s">
        <v>33</v>
      </c>
      <c r="V12">
        <v>530</v>
      </c>
    </row>
    <row r="13" spans="1:22">
      <c r="A13">
        <v>11</v>
      </c>
      <c r="B13">
        <v>0.5</v>
      </c>
      <c r="C13">
        <v>12</v>
      </c>
      <c r="D13" s="1" t="s">
        <v>95</v>
      </c>
      <c r="E13" s="1" t="s">
        <v>96</v>
      </c>
      <c r="F13" s="1" t="s">
        <v>95</v>
      </c>
      <c r="G13" s="1" t="s">
        <v>97</v>
      </c>
      <c r="H13" s="1" t="s">
        <v>97</v>
      </c>
      <c r="I13" s="1" t="s">
        <v>98</v>
      </c>
      <c r="J13" s="1" t="s">
        <v>99</v>
      </c>
      <c r="K13" s="1" t="s">
        <v>100</v>
      </c>
      <c r="L13">
        <v>0</v>
      </c>
      <c r="M13" s="1" t="s">
        <v>101</v>
      </c>
      <c r="N13">
        <v>186454</v>
      </c>
      <c r="O13" s="1" t="s">
        <v>28</v>
      </c>
      <c r="P13" t="s">
        <v>29</v>
      </c>
      <c r="Q13" t="s">
        <v>30</v>
      </c>
      <c r="R13" t="s">
        <v>31</v>
      </c>
      <c r="S13" t="s">
        <v>32</v>
      </c>
      <c r="T13" s="2">
        <v>45907</v>
      </c>
      <c r="U13" t="s">
        <v>33</v>
      </c>
      <c r="V13">
        <v>530</v>
      </c>
    </row>
    <row r="14" spans="1:22">
      <c r="A14">
        <v>12</v>
      </c>
      <c r="B14">
        <v>0.5</v>
      </c>
      <c r="C14">
        <v>12.5</v>
      </c>
      <c r="D14" s="1" t="s">
        <v>102</v>
      </c>
      <c r="E14" s="1" t="s">
        <v>103</v>
      </c>
      <c r="F14" s="1" t="s">
        <v>102</v>
      </c>
      <c r="G14" s="1" t="s">
        <v>104</v>
      </c>
      <c r="H14" s="1" t="s">
        <v>104</v>
      </c>
      <c r="I14" s="1" t="s">
        <v>105</v>
      </c>
      <c r="J14" s="1" t="s">
        <v>106</v>
      </c>
      <c r="K14">
        <v>1</v>
      </c>
      <c r="L14" s="1">
        <v>0</v>
      </c>
      <c r="M14">
        <v>186454</v>
      </c>
      <c r="N14" s="1" t="s">
        <v>28</v>
      </c>
      <c r="O14" t="s">
        <v>29</v>
      </c>
      <c r="P14" t="s">
        <v>30</v>
      </c>
      <c r="Q14" t="s">
        <v>31</v>
      </c>
      <c r="R14" t="s">
        <v>32</v>
      </c>
      <c r="S14" s="2">
        <v>45907</v>
      </c>
      <c r="T14" t="s">
        <v>33</v>
      </c>
      <c r="U14">
        <v>530</v>
      </c>
    </row>
    <row r="15" spans="1:22">
      <c r="A15">
        <v>13</v>
      </c>
      <c r="B15">
        <v>0.5</v>
      </c>
      <c r="C15">
        <v>12.5</v>
      </c>
      <c r="D15" s="1" t="s">
        <v>107</v>
      </c>
      <c r="E15" s="1" t="s">
        <v>108</v>
      </c>
      <c r="F15" s="1" t="s">
        <v>107</v>
      </c>
      <c r="G15" s="1" t="s">
        <v>109</v>
      </c>
      <c r="H15" s="1" t="s">
        <v>109</v>
      </c>
      <c r="I15" s="1" t="s">
        <v>109</v>
      </c>
      <c r="J15" s="1" t="s">
        <v>110</v>
      </c>
      <c r="K15">
        <v>0</v>
      </c>
      <c r="L15">
        <v>0</v>
      </c>
      <c r="M15">
        <v>186454</v>
      </c>
      <c r="N15" s="1" t="s">
        <v>28</v>
      </c>
      <c r="O15" t="s">
        <v>29</v>
      </c>
      <c r="P15" t="s">
        <v>30</v>
      </c>
      <c r="Q15" t="s">
        <v>31</v>
      </c>
      <c r="R15" t="s">
        <v>32</v>
      </c>
      <c r="S15" s="2">
        <v>45907</v>
      </c>
      <c r="T15" t="s">
        <v>33</v>
      </c>
      <c r="U15">
        <v>530</v>
      </c>
    </row>
    <row r="16" spans="1:22">
      <c r="A16">
        <v>14</v>
      </c>
      <c r="B16">
        <v>0.5</v>
      </c>
      <c r="C16">
        <v>13</v>
      </c>
      <c r="D16" s="1" t="s">
        <v>111</v>
      </c>
      <c r="E16" s="1" t="s">
        <v>112</v>
      </c>
      <c r="F16" s="1" t="s">
        <v>111</v>
      </c>
      <c r="G16" s="1" t="s">
        <v>113</v>
      </c>
      <c r="H16" s="1" t="s">
        <v>113</v>
      </c>
      <c r="I16" s="1" t="s">
        <v>114</v>
      </c>
      <c r="J16" s="1" t="s">
        <v>115</v>
      </c>
      <c r="K16" s="1" t="s">
        <v>116</v>
      </c>
      <c r="L16">
        <v>1</v>
      </c>
      <c r="M16" s="1" t="s">
        <v>117</v>
      </c>
      <c r="N16">
        <v>186454</v>
      </c>
      <c r="O16" s="1" t="s">
        <v>28</v>
      </c>
      <c r="P16" t="s">
        <v>29</v>
      </c>
      <c r="Q16" t="s">
        <v>30</v>
      </c>
      <c r="R16" t="s">
        <v>31</v>
      </c>
      <c r="S16" t="s">
        <v>32</v>
      </c>
      <c r="T16" s="2">
        <v>45907</v>
      </c>
      <c r="U16" t="s">
        <v>33</v>
      </c>
      <c r="V16">
        <v>530</v>
      </c>
    </row>
    <row r="17" spans="1:22">
      <c r="A17">
        <v>15</v>
      </c>
      <c r="B17">
        <v>0.5</v>
      </c>
      <c r="C17">
        <v>13</v>
      </c>
      <c r="D17" s="1" t="s">
        <v>118</v>
      </c>
      <c r="E17" s="1" t="s">
        <v>119</v>
      </c>
      <c r="F17" s="1" t="s">
        <v>118</v>
      </c>
      <c r="G17" s="1" t="s">
        <v>120</v>
      </c>
      <c r="H17" s="1" t="s">
        <v>120</v>
      </c>
      <c r="I17" s="1" t="s">
        <v>121</v>
      </c>
      <c r="J17" s="1" t="s">
        <v>122</v>
      </c>
      <c r="K17" s="1" t="s">
        <v>123</v>
      </c>
      <c r="L17">
        <v>1</v>
      </c>
      <c r="M17" s="1" t="s">
        <v>124</v>
      </c>
      <c r="N17">
        <v>186454</v>
      </c>
      <c r="O17" s="1" t="s">
        <v>28</v>
      </c>
      <c r="P17" t="s">
        <v>29</v>
      </c>
      <c r="Q17" t="s">
        <v>30</v>
      </c>
      <c r="R17" t="s">
        <v>31</v>
      </c>
      <c r="S17" t="s">
        <v>32</v>
      </c>
      <c r="T17" s="2">
        <v>45907</v>
      </c>
      <c r="U17" t="s">
        <v>33</v>
      </c>
      <c r="V17">
        <v>530</v>
      </c>
    </row>
    <row r="18" spans="1:22">
      <c r="A18">
        <v>16</v>
      </c>
      <c r="B18">
        <v>0.5</v>
      </c>
      <c r="C18">
        <v>13</v>
      </c>
      <c r="D18" s="1" t="s">
        <v>125</v>
      </c>
      <c r="E18" s="1" t="s">
        <v>126</v>
      </c>
      <c r="F18" s="1" t="s">
        <v>125</v>
      </c>
      <c r="G18" s="1" t="s">
        <v>127</v>
      </c>
      <c r="H18" s="1" t="s">
        <v>127</v>
      </c>
      <c r="I18" s="1" t="s">
        <v>128</v>
      </c>
      <c r="J18" s="1" t="s">
        <v>129</v>
      </c>
      <c r="K18">
        <v>1</v>
      </c>
      <c r="L18" s="1">
        <v>0</v>
      </c>
      <c r="M18">
        <v>186454</v>
      </c>
      <c r="N18" s="1" t="s">
        <v>28</v>
      </c>
      <c r="O18" t="s">
        <v>29</v>
      </c>
      <c r="P18" t="s">
        <v>30</v>
      </c>
      <c r="Q18" t="s">
        <v>31</v>
      </c>
      <c r="R18" t="s">
        <v>32</v>
      </c>
      <c r="S18" s="2">
        <v>45907</v>
      </c>
      <c r="T18" t="s">
        <v>33</v>
      </c>
      <c r="U18">
        <v>530</v>
      </c>
    </row>
    <row r="19" spans="1:22">
      <c r="A19">
        <v>17</v>
      </c>
      <c r="B19">
        <v>0.5</v>
      </c>
      <c r="C19">
        <v>12.5</v>
      </c>
      <c r="D19" s="1" t="s">
        <v>130</v>
      </c>
      <c r="E19" s="1" t="s">
        <v>131</v>
      </c>
      <c r="F19" s="1" t="s">
        <v>130</v>
      </c>
      <c r="G19" s="1" t="s">
        <v>132</v>
      </c>
      <c r="H19" s="1" t="s">
        <v>132</v>
      </c>
      <c r="I19" s="1" t="s">
        <v>133</v>
      </c>
      <c r="J19" s="1" t="s">
        <v>134</v>
      </c>
      <c r="K19" s="1" t="s">
        <v>135</v>
      </c>
      <c r="L19">
        <v>1</v>
      </c>
      <c r="M19" s="1" t="s">
        <v>136</v>
      </c>
      <c r="N19">
        <v>186454</v>
      </c>
      <c r="O19" s="1" t="s">
        <v>28</v>
      </c>
      <c r="P19" t="s">
        <v>29</v>
      </c>
      <c r="Q19" t="s">
        <v>30</v>
      </c>
      <c r="R19" t="s">
        <v>31</v>
      </c>
      <c r="S19" t="s">
        <v>32</v>
      </c>
      <c r="T19" s="2">
        <v>45907</v>
      </c>
      <c r="U19" t="s">
        <v>33</v>
      </c>
      <c r="V19">
        <v>530</v>
      </c>
    </row>
    <row r="20" spans="1:22">
      <c r="A20">
        <v>18</v>
      </c>
      <c r="B20">
        <v>0.5</v>
      </c>
      <c r="C20">
        <v>12.5</v>
      </c>
      <c r="D20" s="1" t="s">
        <v>137</v>
      </c>
      <c r="E20" s="1" t="s">
        <v>138</v>
      </c>
      <c r="F20" s="1" t="s">
        <v>137</v>
      </c>
      <c r="G20" s="1" t="s">
        <v>139</v>
      </c>
      <c r="H20" s="1" t="s">
        <v>139</v>
      </c>
      <c r="I20" s="1" t="s">
        <v>139</v>
      </c>
      <c r="J20" s="1" t="s">
        <v>140</v>
      </c>
      <c r="K20">
        <v>0</v>
      </c>
      <c r="L20">
        <v>0</v>
      </c>
      <c r="M20">
        <v>186454</v>
      </c>
      <c r="N20" s="1" t="s">
        <v>28</v>
      </c>
      <c r="O20" t="s">
        <v>29</v>
      </c>
      <c r="P20" t="s">
        <v>30</v>
      </c>
      <c r="Q20" t="s">
        <v>31</v>
      </c>
      <c r="R20" t="s">
        <v>32</v>
      </c>
      <c r="S20" s="2">
        <v>45907</v>
      </c>
      <c r="T20" t="s">
        <v>33</v>
      </c>
      <c r="U20">
        <v>530</v>
      </c>
    </row>
    <row r="21" spans="1:22">
      <c r="A21">
        <v>19</v>
      </c>
      <c r="B21">
        <v>0.5</v>
      </c>
      <c r="C21">
        <v>13</v>
      </c>
      <c r="D21" s="1" t="s">
        <v>141</v>
      </c>
      <c r="E21" s="1" t="s">
        <v>142</v>
      </c>
      <c r="F21" s="1" t="s">
        <v>141</v>
      </c>
      <c r="G21" s="1" t="s">
        <v>143</v>
      </c>
      <c r="H21" s="1" t="s">
        <v>143</v>
      </c>
      <c r="I21" s="1" t="s">
        <v>144</v>
      </c>
      <c r="J21" s="1" t="s">
        <v>145</v>
      </c>
      <c r="K21">
        <v>1</v>
      </c>
      <c r="L21" s="1">
        <v>0</v>
      </c>
      <c r="M21">
        <v>186454</v>
      </c>
      <c r="N21" s="1" t="s">
        <v>28</v>
      </c>
      <c r="O21" t="s">
        <v>29</v>
      </c>
      <c r="P21" t="s">
        <v>30</v>
      </c>
      <c r="Q21" t="s">
        <v>31</v>
      </c>
      <c r="R21" t="s">
        <v>32</v>
      </c>
      <c r="S21" s="2">
        <v>45907</v>
      </c>
      <c r="T21" t="s">
        <v>33</v>
      </c>
      <c r="U21">
        <v>530</v>
      </c>
    </row>
    <row r="22" spans="1:22">
      <c r="A22">
        <v>20</v>
      </c>
      <c r="B22">
        <v>0.5</v>
      </c>
      <c r="C22">
        <v>13</v>
      </c>
      <c r="D22" s="1" t="s">
        <v>146</v>
      </c>
      <c r="E22" s="1" t="s">
        <v>147</v>
      </c>
      <c r="F22" s="1" t="s">
        <v>146</v>
      </c>
      <c r="G22" s="1" t="s">
        <v>148</v>
      </c>
      <c r="H22" s="1" t="s">
        <v>148</v>
      </c>
      <c r="I22" s="1" t="s">
        <v>149</v>
      </c>
      <c r="J22" s="1" t="s">
        <v>150</v>
      </c>
      <c r="K22">
        <v>1</v>
      </c>
      <c r="L22" s="1">
        <v>0</v>
      </c>
      <c r="M22">
        <v>186454</v>
      </c>
      <c r="N22" s="1" t="s">
        <v>28</v>
      </c>
      <c r="O22" t="s">
        <v>29</v>
      </c>
      <c r="P22" t="s">
        <v>30</v>
      </c>
      <c r="Q22" t="s">
        <v>31</v>
      </c>
      <c r="R22" t="s">
        <v>32</v>
      </c>
      <c r="S22" s="2">
        <v>45907</v>
      </c>
      <c r="T22" t="s">
        <v>33</v>
      </c>
      <c r="U22">
        <v>530</v>
      </c>
    </row>
    <row r="23" spans="1:22">
      <c r="A23">
        <v>21</v>
      </c>
      <c r="B23">
        <v>0.5</v>
      </c>
      <c r="C23">
        <v>13</v>
      </c>
      <c r="D23" s="1" t="s">
        <v>151</v>
      </c>
      <c r="E23" s="1" t="s">
        <v>152</v>
      </c>
      <c r="F23" s="1" t="s">
        <v>151</v>
      </c>
      <c r="G23">
        <v>1567.2845278340101</v>
      </c>
      <c r="H23">
        <v>1567.2845278340101</v>
      </c>
      <c r="I23" s="1" t="s">
        <v>153</v>
      </c>
      <c r="J23" s="1" t="s">
        <v>154</v>
      </c>
      <c r="K23">
        <v>1</v>
      </c>
      <c r="L23">
        <v>0</v>
      </c>
      <c r="M23">
        <v>186454</v>
      </c>
      <c r="N23" s="1" t="s">
        <v>28</v>
      </c>
      <c r="O23" t="s">
        <v>29</v>
      </c>
      <c r="P23" t="s">
        <v>30</v>
      </c>
      <c r="Q23" t="s">
        <v>31</v>
      </c>
      <c r="R23" t="s">
        <v>32</v>
      </c>
      <c r="S23" s="2">
        <v>45907</v>
      </c>
      <c r="T23" t="s">
        <v>33</v>
      </c>
      <c r="U23">
        <v>530</v>
      </c>
    </row>
    <row r="24" spans="1:22">
      <c r="A24">
        <v>22</v>
      </c>
      <c r="B24">
        <v>0.5</v>
      </c>
      <c r="C24">
        <v>12.5</v>
      </c>
      <c r="D24" s="1" t="s">
        <v>155</v>
      </c>
      <c r="E24" s="1" t="s">
        <v>156</v>
      </c>
      <c r="F24" s="1" t="s">
        <v>155</v>
      </c>
      <c r="G24" s="1" t="s">
        <v>157</v>
      </c>
      <c r="H24" s="1" t="s">
        <v>157</v>
      </c>
      <c r="I24" s="1" t="s">
        <v>157</v>
      </c>
      <c r="J24" s="1" t="s">
        <v>158</v>
      </c>
      <c r="K24">
        <v>1</v>
      </c>
      <c r="L24">
        <v>0</v>
      </c>
      <c r="M24">
        <v>186454</v>
      </c>
      <c r="N24" s="1" t="s">
        <v>28</v>
      </c>
      <c r="O24" t="s">
        <v>29</v>
      </c>
      <c r="P24" t="s">
        <v>30</v>
      </c>
      <c r="Q24" t="s">
        <v>31</v>
      </c>
      <c r="R24" t="s">
        <v>32</v>
      </c>
      <c r="S24" s="2">
        <v>45907</v>
      </c>
      <c r="T24" t="s">
        <v>33</v>
      </c>
      <c r="U24">
        <v>530</v>
      </c>
    </row>
    <row r="25" spans="1:22">
      <c r="A25">
        <v>23</v>
      </c>
      <c r="B25">
        <v>0.5</v>
      </c>
      <c r="C25">
        <v>12.5</v>
      </c>
      <c r="D25" s="1" t="s">
        <v>159</v>
      </c>
      <c r="E25" s="1" t="s">
        <v>160</v>
      </c>
      <c r="F25" s="1" t="s">
        <v>159</v>
      </c>
      <c r="G25" s="1" t="s">
        <v>161</v>
      </c>
      <c r="H25" s="1" t="s">
        <v>161</v>
      </c>
      <c r="I25" s="1" t="s">
        <v>161</v>
      </c>
      <c r="J25" s="1" t="s">
        <v>162</v>
      </c>
      <c r="K25" s="1" t="s">
        <v>163</v>
      </c>
      <c r="L25">
        <v>1</v>
      </c>
      <c r="M25" s="1" t="s">
        <v>164</v>
      </c>
      <c r="N25">
        <v>186454</v>
      </c>
      <c r="O25" s="1" t="s">
        <v>28</v>
      </c>
      <c r="P25" t="s">
        <v>29</v>
      </c>
      <c r="Q25" t="s">
        <v>30</v>
      </c>
      <c r="R25" t="s">
        <v>31</v>
      </c>
      <c r="S25" t="s">
        <v>32</v>
      </c>
      <c r="T25" s="2">
        <v>45907</v>
      </c>
      <c r="U25" t="s">
        <v>33</v>
      </c>
      <c r="V25">
        <v>530</v>
      </c>
    </row>
    <row r="26" spans="1:22">
      <c r="A26">
        <v>24</v>
      </c>
      <c r="B26">
        <v>0.5</v>
      </c>
      <c r="C26">
        <v>12.5</v>
      </c>
      <c r="D26" s="1" t="s">
        <v>165</v>
      </c>
      <c r="E26" s="1" t="s">
        <v>166</v>
      </c>
      <c r="F26" s="1" t="s">
        <v>165</v>
      </c>
      <c r="G26" s="1" t="s">
        <v>167</v>
      </c>
      <c r="H26" s="1" t="s">
        <v>167</v>
      </c>
      <c r="I26" s="1" t="s">
        <v>167</v>
      </c>
      <c r="J26" s="1" t="s">
        <v>168</v>
      </c>
      <c r="K26" s="1" t="s">
        <v>169</v>
      </c>
      <c r="L26">
        <v>1</v>
      </c>
      <c r="M26" s="1" t="s">
        <v>170</v>
      </c>
      <c r="N26">
        <v>186454</v>
      </c>
      <c r="O26" s="1" t="s">
        <v>28</v>
      </c>
      <c r="P26" t="s">
        <v>29</v>
      </c>
      <c r="Q26" t="s">
        <v>30</v>
      </c>
      <c r="R26" t="s">
        <v>31</v>
      </c>
      <c r="S26" t="s">
        <v>32</v>
      </c>
      <c r="T26" s="2">
        <v>45907</v>
      </c>
      <c r="U26" t="s">
        <v>33</v>
      </c>
      <c r="V26">
        <v>530</v>
      </c>
    </row>
    <row r="27" spans="1:22">
      <c r="A27">
        <v>25</v>
      </c>
      <c r="B27">
        <v>0.5</v>
      </c>
      <c r="C27">
        <v>12</v>
      </c>
      <c r="D27" s="1" t="s">
        <v>171</v>
      </c>
      <c r="E27" s="1" t="s">
        <v>172</v>
      </c>
      <c r="F27" s="1" t="s">
        <v>171</v>
      </c>
      <c r="G27" s="1" t="s">
        <v>173</v>
      </c>
      <c r="H27" s="1" t="s">
        <v>173</v>
      </c>
      <c r="I27" s="1" t="s">
        <v>174</v>
      </c>
      <c r="J27" s="1" t="s">
        <v>175</v>
      </c>
      <c r="K27" s="1" t="s">
        <v>176</v>
      </c>
      <c r="L27">
        <v>1</v>
      </c>
      <c r="M27" s="1" t="s">
        <v>177</v>
      </c>
      <c r="N27">
        <v>186454</v>
      </c>
      <c r="O27" s="1" t="s">
        <v>28</v>
      </c>
      <c r="P27" t="s">
        <v>29</v>
      </c>
      <c r="Q27" t="s">
        <v>30</v>
      </c>
      <c r="R27" t="s">
        <v>31</v>
      </c>
      <c r="S27" t="s">
        <v>32</v>
      </c>
      <c r="T27" s="2">
        <v>45907</v>
      </c>
      <c r="U27" t="s">
        <v>33</v>
      </c>
      <c r="V27">
        <v>530</v>
      </c>
    </row>
    <row r="28" spans="1:22">
      <c r="A28">
        <v>26</v>
      </c>
      <c r="B28">
        <v>0.5</v>
      </c>
      <c r="C28">
        <v>12</v>
      </c>
      <c r="D28" s="1" t="s">
        <v>178</v>
      </c>
      <c r="E28" s="1" t="s">
        <v>179</v>
      </c>
      <c r="F28" s="1" t="s">
        <v>178</v>
      </c>
      <c r="G28" s="1" t="s">
        <v>180</v>
      </c>
      <c r="H28" s="1" t="s">
        <v>180</v>
      </c>
      <c r="I28" s="1" t="s">
        <v>181</v>
      </c>
      <c r="J28" s="1" t="s">
        <v>182</v>
      </c>
      <c r="K28" s="1" t="s">
        <v>183</v>
      </c>
      <c r="L28">
        <v>1</v>
      </c>
      <c r="M28" s="1" t="s">
        <v>184</v>
      </c>
      <c r="N28">
        <v>186454</v>
      </c>
      <c r="O28" s="1" t="s">
        <v>28</v>
      </c>
      <c r="P28" t="s">
        <v>29</v>
      </c>
      <c r="Q28" t="s">
        <v>30</v>
      </c>
      <c r="R28" t="s">
        <v>31</v>
      </c>
      <c r="S28" t="s">
        <v>32</v>
      </c>
      <c r="T28" s="2">
        <v>45907</v>
      </c>
      <c r="U28" t="s">
        <v>33</v>
      </c>
      <c r="V28">
        <v>530</v>
      </c>
    </row>
    <row r="29" spans="1:22">
      <c r="A29">
        <v>27</v>
      </c>
      <c r="B29">
        <v>0.5</v>
      </c>
      <c r="C29">
        <v>12</v>
      </c>
      <c r="D29">
        <v>1571.8262445</v>
      </c>
      <c r="E29" s="1" t="s">
        <v>185</v>
      </c>
      <c r="F29">
        <v>1571.8262445</v>
      </c>
      <c r="G29" s="1" t="s">
        <v>186</v>
      </c>
      <c r="H29" s="1" t="s">
        <v>186</v>
      </c>
      <c r="I29" s="1" t="s">
        <v>187</v>
      </c>
      <c r="J29" s="1" t="s">
        <v>188</v>
      </c>
      <c r="K29">
        <v>1572.786624417</v>
      </c>
      <c r="L29">
        <v>1</v>
      </c>
      <c r="M29" s="1" t="s">
        <v>189</v>
      </c>
      <c r="N29">
        <v>186454</v>
      </c>
      <c r="O29" s="1" t="s">
        <v>28</v>
      </c>
      <c r="P29" t="s">
        <v>29</v>
      </c>
      <c r="Q29" t="s">
        <v>30</v>
      </c>
      <c r="R29" t="s">
        <v>31</v>
      </c>
      <c r="S29" t="s">
        <v>32</v>
      </c>
      <c r="T29" s="2">
        <v>45907</v>
      </c>
      <c r="U29" t="s">
        <v>33</v>
      </c>
      <c r="V29">
        <v>530</v>
      </c>
    </row>
    <row r="30" spans="1:22">
      <c r="A30">
        <v>28</v>
      </c>
      <c r="B30">
        <v>0.5</v>
      </c>
      <c r="C30">
        <v>11.5</v>
      </c>
      <c r="D30" s="1" t="s">
        <v>190</v>
      </c>
      <c r="E30" s="1" t="s">
        <v>191</v>
      </c>
      <c r="F30" s="1" t="s">
        <v>190</v>
      </c>
      <c r="G30" s="1" t="s">
        <v>192</v>
      </c>
      <c r="H30" s="1" t="s">
        <v>192</v>
      </c>
      <c r="I30" s="1" t="s">
        <v>193</v>
      </c>
      <c r="J30" s="1" t="s">
        <v>194</v>
      </c>
      <c r="K30">
        <v>1</v>
      </c>
      <c r="L30" s="1">
        <v>0</v>
      </c>
      <c r="M30">
        <v>186454</v>
      </c>
      <c r="N30" s="1" t="s">
        <v>28</v>
      </c>
      <c r="O30" t="s">
        <v>29</v>
      </c>
      <c r="P30" t="s">
        <v>30</v>
      </c>
      <c r="Q30" t="s">
        <v>31</v>
      </c>
      <c r="R30" t="s">
        <v>32</v>
      </c>
      <c r="S30" s="2">
        <v>45907</v>
      </c>
      <c r="T30" t="s">
        <v>33</v>
      </c>
      <c r="U30">
        <v>530</v>
      </c>
    </row>
    <row r="31" spans="1:22">
      <c r="A31">
        <v>29</v>
      </c>
      <c r="B31">
        <v>0.5</v>
      </c>
      <c r="C31">
        <v>11.5</v>
      </c>
      <c r="D31" s="1" t="s">
        <v>195</v>
      </c>
      <c r="E31" s="1" t="s">
        <v>196</v>
      </c>
      <c r="F31" s="1" t="s">
        <v>195</v>
      </c>
      <c r="G31">
        <v>1574.0512390419899</v>
      </c>
      <c r="H31">
        <v>1574.0512390419899</v>
      </c>
      <c r="I31" s="1" t="s">
        <v>197</v>
      </c>
      <c r="J31" s="1" t="s">
        <v>198</v>
      </c>
      <c r="K31" s="1" t="s">
        <v>199</v>
      </c>
      <c r="L31">
        <v>0</v>
      </c>
      <c r="M31" s="1" t="s">
        <v>200</v>
      </c>
      <c r="N31">
        <v>186454</v>
      </c>
      <c r="O31" s="1" t="s">
        <v>28</v>
      </c>
      <c r="P31" t="s">
        <v>29</v>
      </c>
      <c r="Q31" t="s">
        <v>30</v>
      </c>
      <c r="R31" t="s">
        <v>31</v>
      </c>
      <c r="S31" t="s">
        <v>32</v>
      </c>
      <c r="T31" s="2">
        <v>45907</v>
      </c>
      <c r="U31" t="s">
        <v>33</v>
      </c>
      <c r="V31">
        <v>530</v>
      </c>
    </row>
    <row r="32" spans="1:22">
      <c r="A32">
        <v>30</v>
      </c>
      <c r="B32">
        <v>0.5</v>
      </c>
      <c r="C32">
        <v>12</v>
      </c>
      <c r="D32" s="1" t="s">
        <v>201</v>
      </c>
      <c r="E32" s="1" t="s">
        <v>202</v>
      </c>
      <c r="F32" s="1" t="s">
        <v>201</v>
      </c>
      <c r="G32" s="1" t="s">
        <v>203</v>
      </c>
      <c r="H32" s="1" t="s">
        <v>203</v>
      </c>
      <c r="I32" s="1" t="s">
        <v>204</v>
      </c>
      <c r="J32" s="1" t="s">
        <v>205</v>
      </c>
      <c r="K32" s="1" t="s">
        <v>206</v>
      </c>
      <c r="L32">
        <v>0</v>
      </c>
      <c r="M32" s="1" t="s">
        <v>207</v>
      </c>
      <c r="N32">
        <v>186454</v>
      </c>
      <c r="O32" s="1" t="s">
        <v>28</v>
      </c>
      <c r="P32" t="s">
        <v>29</v>
      </c>
      <c r="Q32" t="s">
        <v>30</v>
      </c>
      <c r="R32" t="s">
        <v>31</v>
      </c>
      <c r="S32" t="s">
        <v>32</v>
      </c>
      <c r="T32" s="2">
        <v>45907</v>
      </c>
      <c r="U32" t="s">
        <v>33</v>
      </c>
      <c r="V32">
        <v>530</v>
      </c>
    </row>
    <row r="33" spans="1:22">
      <c r="A33">
        <v>31</v>
      </c>
      <c r="B33">
        <v>0.5</v>
      </c>
      <c r="C33">
        <v>12.5</v>
      </c>
      <c r="D33" s="1" t="s">
        <v>208</v>
      </c>
      <c r="E33" s="1" t="s">
        <v>209</v>
      </c>
      <c r="F33" s="1" t="s">
        <v>208</v>
      </c>
      <c r="G33" s="1" t="s">
        <v>210</v>
      </c>
      <c r="H33" s="1" t="s">
        <v>210</v>
      </c>
      <c r="I33" s="1" t="s">
        <v>211</v>
      </c>
      <c r="J33" s="1" t="s">
        <v>212</v>
      </c>
      <c r="K33" s="1" t="s">
        <v>213</v>
      </c>
      <c r="L33">
        <v>1</v>
      </c>
      <c r="M33" s="1" t="s">
        <v>214</v>
      </c>
      <c r="N33">
        <v>186454</v>
      </c>
      <c r="O33" s="1" t="s">
        <v>28</v>
      </c>
      <c r="P33" t="s">
        <v>29</v>
      </c>
      <c r="Q33" t="s">
        <v>30</v>
      </c>
      <c r="R33" t="s">
        <v>31</v>
      </c>
      <c r="S33" t="s">
        <v>32</v>
      </c>
      <c r="T33" s="2">
        <v>45907</v>
      </c>
      <c r="U33" t="s">
        <v>33</v>
      </c>
      <c r="V33">
        <v>530</v>
      </c>
    </row>
    <row r="34" spans="1:22">
      <c r="A34">
        <v>32</v>
      </c>
      <c r="B34">
        <v>0.5</v>
      </c>
      <c r="C34">
        <v>12.5</v>
      </c>
      <c r="D34" s="1" t="s">
        <v>215</v>
      </c>
      <c r="E34" s="1" t="s">
        <v>216</v>
      </c>
      <c r="F34" s="1" t="s">
        <v>215</v>
      </c>
      <c r="G34" s="1" t="s">
        <v>217</v>
      </c>
      <c r="H34" s="1" t="s">
        <v>217</v>
      </c>
      <c r="I34" s="1" t="s">
        <v>218</v>
      </c>
      <c r="J34" s="1" t="s">
        <v>219</v>
      </c>
      <c r="K34" s="1" t="s">
        <v>220</v>
      </c>
      <c r="L34">
        <v>1</v>
      </c>
      <c r="M34">
        <v>0.57375529201817699</v>
      </c>
      <c r="N34">
        <v>186454</v>
      </c>
      <c r="O34" s="1" t="s">
        <v>28</v>
      </c>
      <c r="P34" t="s">
        <v>29</v>
      </c>
      <c r="Q34" t="s">
        <v>30</v>
      </c>
      <c r="R34" t="s">
        <v>31</v>
      </c>
      <c r="S34" t="s">
        <v>32</v>
      </c>
      <c r="T34" s="2">
        <v>45907</v>
      </c>
      <c r="U34" t="s">
        <v>33</v>
      </c>
      <c r="V34">
        <v>530</v>
      </c>
    </row>
    <row r="35" spans="1:22">
      <c r="A35">
        <v>33</v>
      </c>
      <c r="B35">
        <v>0.5</v>
      </c>
      <c r="C35">
        <v>12.5</v>
      </c>
      <c r="D35" s="1" t="s">
        <v>221</v>
      </c>
      <c r="E35" s="1" t="s">
        <v>222</v>
      </c>
      <c r="F35" s="1" t="s">
        <v>221</v>
      </c>
      <c r="G35" s="1" t="s">
        <v>223</v>
      </c>
      <c r="H35" s="1" t="s">
        <v>223</v>
      </c>
      <c r="I35" s="1" t="s">
        <v>224</v>
      </c>
      <c r="J35" s="1" t="s">
        <v>225</v>
      </c>
      <c r="K35">
        <v>2093.6623625840002</v>
      </c>
      <c r="L35">
        <v>1</v>
      </c>
      <c r="M35" s="1" t="s">
        <v>226</v>
      </c>
      <c r="N35">
        <v>186454</v>
      </c>
      <c r="O35" s="1" t="s">
        <v>28</v>
      </c>
      <c r="P35" t="s">
        <v>29</v>
      </c>
      <c r="Q35" t="s">
        <v>30</v>
      </c>
      <c r="R35" t="s">
        <v>31</v>
      </c>
      <c r="S35" t="s">
        <v>32</v>
      </c>
      <c r="T35" s="2">
        <v>45907</v>
      </c>
      <c r="U35" t="s">
        <v>33</v>
      </c>
      <c r="V35">
        <v>530</v>
      </c>
    </row>
    <row r="36" spans="1:22">
      <c r="A36">
        <v>34</v>
      </c>
      <c r="B36">
        <v>0.5</v>
      </c>
      <c r="C36">
        <v>12</v>
      </c>
      <c r="D36" s="1" t="s">
        <v>227</v>
      </c>
      <c r="E36" s="1" t="s">
        <v>228</v>
      </c>
      <c r="F36" s="1" t="s">
        <v>227</v>
      </c>
      <c r="G36" s="1" t="s">
        <v>229</v>
      </c>
      <c r="H36" s="1" t="s">
        <v>229</v>
      </c>
      <c r="I36" s="1" t="s">
        <v>230</v>
      </c>
      <c r="J36" s="1" t="s">
        <v>231</v>
      </c>
      <c r="K36" s="1" t="s">
        <v>232</v>
      </c>
      <c r="L36">
        <v>1</v>
      </c>
      <c r="M36" s="1" t="s">
        <v>233</v>
      </c>
      <c r="N36">
        <v>186454</v>
      </c>
      <c r="O36" s="1" t="s">
        <v>28</v>
      </c>
      <c r="P36" t="s">
        <v>29</v>
      </c>
      <c r="Q36" t="s">
        <v>30</v>
      </c>
      <c r="R36" t="s">
        <v>31</v>
      </c>
      <c r="S36" t="s">
        <v>32</v>
      </c>
      <c r="T36" s="2">
        <v>45907</v>
      </c>
      <c r="U36" t="s">
        <v>33</v>
      </c>
      <c r="V36">
        <v>530</v>
      </c>
    </row>
    <row r="37" spans="1:22">
      <c r="A37">
        <v>35</v>
      </c>
      <c r="B37">
        <v>0.5</v>
      </c>
      <c r="C37">
        <v>12</v>
      </c>
      <c r="D37" s="1" t="s">
        <v>234</v>
      </c>
      <c r="E37" s="1" t="s">
        <v>235</v>
      </c>
      <c r="F37" s="1" t="s">
        <v>234</v>
      </c>
      <c r="G37" s="1" t="s">
        <v>236</v>
      </c>
      <c r="H37" s="1" t="s">
        <v>236</v>
      </c>
      <c r="I37" s="1" t="s">
        <v>237</v>
      </c>
      <c r="J37" s="1" t="s">
        <v>238</v>
      </c>
      <c r="K37">
        <v>2095.79175170901</v>
      </c>
      <c r="L37">
        <v>1</v>
      </c>
      <c r="M37" s="1" t="s">
        <v>239</v>
      </c>
      <c r="N37">
        <v>186454</v>
      </c>
      <c r="O37" s="1" t="s">
        <v>28</v>
      </c>
      <c r="P37" t="s">
        <v>29</v>
      </c>
      <c r="Q37" t="s">
        <v>30</v>
      </c>
      <c r="R37" t="s">
        <v>31</v>
      </c>
      <c r="S37" t="s">
        <v>32</v>
      </c>
      <c r="T37" s="2">
        <v>45907</v>
      </c>
      <c r="U37" t="s">
        <v>33</v>
      </c>
      <c r="V37">
        <v>530</v>
      </c>
    </row>
    <row r="38" spans="1:22">
      <c r="A38">
        <v>36</v>
      </c>
      <c r="B38">
        <v>0.5</v>
      </c>
      <c r="C38">
        <v>12</v>
      </c>
      <c r="D38" s="1" t="s">
        <v>240</v>
      </c>
      <c r="E38" s="1" t="s">
        <v>241</v>
      </c>
      <c r="F38" s="1" t="s">
        <v>240</v>
      </c>
      <c r="G38" s="1" t="s">
        <v>242</v>
      </c>
      <c r="H38" s="1" t="s">
        <v>242</v>
      </c>
      <c r="I38" s="1" t="s">
        <v>243</v>
      </c>
      <c r="J38" s="1" t="s">
        <v>244</v>
      </c>
      <c r="K38" s="1" t="s">
        <v>245</v>
      </c>
      <c r="L38">
        <v>0</v>
      </c>
      <c r="M38" s="1" t="s">
        <v>246</v>
      </c>
      <c r="N38">
        <v>186454</v>
      </c>
      <c r="O38" s="1" t="s">
        <v>28</v>
      </c>
      <c r="P38" t="s">
        <v>29</v>
      </c>
      <c r="Q38" t="s">
        <v>30</v>
      </c>
      <c r="R38" t="s">
        <v>31</v>
      </c>
      <c r="S38" t="s">
        <v>32</v>
      </c>
      <c r="T38" s="2">
        <v>45907</v>
      </c>
      <c r="U38" t="s">
        <v>33</v>
      </c>
      <c r="V38">
        <v>530</v>
      </c>
    </row>
    <row r="39" spans="1:22">
      <c r="A39">
        <v>37</v>
      </c>
      <c r="B39">
        <v>0.5</v>
      </c>
      <c r="C39">
        <v>12.5</v>
      </c>
      <c r="D39" s="1" t="s">
        <v>247</v>
      </c>
      <c r="E39" s="1" t="s">
        <v>248</v>
      </c>
      <c r="F39" s="1" t="s">
        <v>247</v>
      </c>
      <c r="G39" s="1" t="s">
        <v>249</v>
      </c>
      <c r="H39" s="1" t="s">
        <v>249</v>
      </c>
      <c r="I39" s="1" t="s">
        <v>250</v>
      </c>
      <c r="J39" s="1" t="s">
        <v>251</v>
      </c>
      <c r="K39" s="1" t="s">
        <v>252</v>
      </c>
      <c r="L39">
        <v>1</v>
      </c>
      <c r="M39" s="1" t="s">
        <v>253</v>
      </c>
      <c r="N39">
        <v>186454</v>
      </c>
      <c r="O39" s="1" t="s">
        <v>28</v>
      </c>
      <c r="P39" t="s">
        <v>29</v>
      </c>
      <c r="Q39" t="s">
        <v>30</v>
      </c>
      <c r="R39" t="s">
        <v>31</v>
      </c>
      <c r="S39" t="s">
        <v>32</v>
      </c>
      <c r="T39" s="2">
        <v>45907</v>
      </c>
      <c r="U39" t="s">
        <v>33</v>
      </c>
      <c r="V39">
        <v>530</v>
      </c>
    </row>
    <row r="40" spans="1:22">
      <c r="A40">
        <v>38</v>
      </c>
      <c r="B40">
        <v>0.5</v>
      </c>
      <c r="C40">
        <v>12.5</v>
      </c>
      <c r="D40" s="1" t="s">
        <v>254</v>
      </c>
      <c r="E40" s="1" t="s">
        <v>255</v>
      </c>
      <c r="F40" s="1" t="s">
        <v>254</v>
      </c>
      <c r="G40" s="1" t="s">
        <v>256</v>
      </c>
      <c r="H40" s="1" t="s">
        <v>256</v>
      </c>
      <c r="I40" s="1" t="s">
        <v>257</v>
      </c>
      <c r="J40" s="1" t="s">
        <v>258</v>
      </c>
      <c r="K40" s="1" t="s">
        <v>259</v>
      </c>
      <c r="L40">
        <v>1</v>
      </c>
      <c r="M40" s="1" t="s">
        <v>260</v>
      </c>
      <c r="N40">
        <v>186454</v>
      </c>
      <c r="O40" s="1" t="s">
        <v>28</v>
      </c>
      <c r="P40" t="s">
        <v>29</v>
      </c>
      <c r="Q40" t="s">
        <v>30</v>
      </c>
      <c r="R40" t="s">
        <v>31</v>
      </c>
      <c r="S40" t="s">
        <v>32</v>
      </c>
      <c r="T40" s="2">
        <v>45907</v>
      </c>
      <c r="U40" t="s">
        <v>33</v>
      </c>
      <c r="V40">
        <v>530</v>
      </c>
    </row>
    <row r="41" spans="1:22">
      <c r="A41">
        <v>39</v>
      </c>
      <c r="B41">
        <v>0.5</v>
      </c>
      <c r="C41">
        <v>12.5</v>
      </c>
      <c r="D41" s="1" t="s">
        <v>261</v>
      </c>
      <c r="E41" s="1" t="s">
        <v>262</v>
      </c>
      <c r="F41" s="1" t="s">
        <v>261</v>
      </c>
      <c r="G41" s="1" t="s">
        <v>263</v>
      </c>
      <c r="H41" s="1" t="s">
        <v>263</v>
      </c>
      <c r="I41" s="1" t="s">
        <v>264</v>
      </c>
      <c r="J41" s="1" t="s">
        <v>265</v>
      </c>
      <c r="K41" s="1" t="s">
        <v>266</v>
      </c>
      <c r="L41">
        <v>1</v>
      </c>
      <c r="M41" s="1" t="s">
        <v>267</v>
      </c>
      <c r="N41">
        <v>186454</v>
      </c>
      <c r="O41" s="1" t="s">
        <v>28</v>
      </c>
      <c r="P41" t="s">
        <v>29</v>
      </c>
      <c r="Q41" t="s">
        <v>30</v>
      </c>
      <c r="R41" t="s">
        <v>31</v>
      </c>
      <c r="S41" t="s">
        <v>32</v>
      </c>
      <c r="T41" s="2">
        <v>45907</v>
      </c>
      <c r="U41" t="s">
        <v>33</v>
      </c>
      <c r="V41">
        <v>530</v>
      </c>
    </row>
    <row r="42" spans="1:22">
      <c r="A42">
        <v>40</v>
      </c>
      <c r="B42">
        <v>0.5</v>
      </c>
      <c r="C42">
        <v>12</v>
      </c>
      <c r="D42" s="1" t="s">
        <v>268</v>
      </c>
      <c r="E42" s="1" t="s">
        <v>269</v>
      </c>
      <c r="F42" s="1" t="s">
        <v>268</v>
      </c>
      <c r="G42" s="1" t="s">
        <v>270</v>
      </c>
      <c r="H42" s="1" t="s">
        <v>270</v>
      </c>
      <c r="I42" s="1" t="s">
        <v>271</v>
      </c>
      <c r="J42" s="1" t="s">
        <v>272</v>
      </c>
      <c r="K42" s="1" t="s">
        <v>273</v>
      </c>
      <c r="L42">
        <v>1</v>
      </c>
      <c r="M42">
        <v>0.62420541601022705</v>
      </c>
      <c r="N42">
        <v>186454</v>
      </c>
      <c r="O42" s="1" t="s">
        <v>28</v>
      </c>
      <c r="P42" t="s">
        <v>29</v>
      </c>
      <c r="Q42" t="s">
        <v>30</v>
      </c>
      <c r="R42" t="s">
        <v>31</v>
      </c>
      <c r="S42" t="s">
        <v>32</v>
      </c>
      <c r="T42" s="2">
        <v>45907</v>
      </c>
      <c r="U42" t="s">
        <v>33</v>
      </c>
      <c r="V42">
        <v>530</v>
      </c>
    </row>
    <row r="43" spans="1:22">
      <c r="A43">
        <v>41</v>
      </c>
      <c r="B43">
        <v>0.5</v>
      </c>
      <c r="C43">
        <v>12</v>
      </c>
      <c r="D43" s="1" t="s">
        <v>274</v>
      </c>
      <c r="E43" s="1" t="s">
        <v>275</v>
      </c>
      <c r="F43" s="1" t="s">
        <v>274</v>
      </c>
      <c r="G43" s="1" t="s">
        <v>276</v>
      </c>
      <c r="H43" s="1" t="s">
        <v>276</v>
      </c>
      <c r="I43" s="1" t="s">
        <v>277</v>
      </c>
      <c r="J43" s="1" t="s">
        <v>278</v>
      </c>
      <c r="K43" s="1" t="s">
        <v>279</v>
      </c>
      <c r="L43">
        <v>1</v>
      </c>
      <c r="M43" s="1" t="s">
        <v>280</v>
      </c>
      <c r="N43">
        <v>186454</v>
      </c>
      <c r="O43" s="1" t="s">
        <v>28</v>
      </c>
      <c r="P43" t="s">
        <v>29</v>
      </c>
      <c r="Q43" t="s">
        <v>30</v>
      </c>
      <c r="R43" t="s">
        <v>31</v>
      </c>
      <c r="S43" t="s">
        <v>32</v>
      </c>
      <c r="T43" s="2">
        <v>45907</v>
      </c>
      <c r="U43" t="s">
        <v>33</v>
      </c>
      <c r="V43">
        <v>530</v>
      </c>
    </row>
    <row r="44" spans="1:22">
      <c r="A44">
        <v>42</v>
      </c>
      <c r="B44">
        <v>0.5</v>
      </c>
      <c r="C44">
        <v>12</v>
      </c>
      <c r="D44" s="1" t="s">
        <v>281</v>
      </c>
      <c r="E44" s="1" t="s">
        <v>282</v>
      </c>
      <c r="F44" s="1" t="s">
        <v>281</v>
      </c>
      <c r="G44" s="1" t="s">
        <v>283</v>
      </c>
      <c r="H44" s="1" t="s">
        <v>283</v>
      </c>
      <c r="I44" s="1" t="s">
        <v>284</v>
      </c>
      <c r="J44" s="1" t="s">
        <v>285</v>
      </c>
      <c r="K44" s="1" t="s">
        <v>286</v>
      </c>
      <c r="L44">
        <v>1</v>
      </c>
      <c r="M44" s="1" t="s">
        <v>287</v>
      </c>
      <c r="N44">
        <v>186454</v>
      </c>
      <c r="O44" s="1" t="s">
        <v>28</v>
      </c>
      <c r="P44" t="s">
        <v>29</v>
      </c>
      <c r="Q44" t="s">
        <v>30</v>
      </c>
      <c r="R44" t="s">
        <v>31</v>
      </c>
      <c r="S44" t="s">
        <v>32</v>
      </c>
      <c r="T44" s="2">
        <v>45907</v>
      </c>
      <c r="U44" t="s">
        <v>33</v>
      </c>
      <c r="V44">
        <v>530</v>
      </c>
    </row>
    <row r="45" spans="1:22">
      <c r="A45">
        <v>43</v>
      </c>
      <c r="B45">
        <v>0.5</v>
      </c>
      <c r="C45">
        <v>11.5</v>
      </c>
      <c r="D45" s="1" t="s">
        <v>288</v>
      </c>
      <c r="E45">
        <v>2103.0249807919899</v>
      </c>
      <c r="F45" s="1" t="s">
        <v>288</v>
      </c>
      <c r="G45" s="1" t="s">
        <v>289</v>
      </c>
      <c r="H45" s="1" t="s">
        <v>289</v>
      </c>
      <c r="I45" s="1" t="s">
        <v>290</v>
      </c>
      <c r="J45" s="1" t="s">
        <v>291</v>
      </c>
      <c r="K45" s="1" t="s">
        <v>292</v>
      </c>
      <c r="L45">
        <v>1</v>
      </c>
      <c r="M45" s="1" t="s">
        <v>293</v>
      </c>
      <c r="N45">
        <v>186454</v>
      </c>
      <c r="O45" s="1" t="s">
        <v>28</v>
      </c>
      <c r="P45" t="s">
        <v>29</v>
      </c>
      <c r="Q45" t="s">
        <v>30</v>
      </c>
      <c r="R45" t="s">
        <v>31</v>
      </c>
      <c r="S45" t="s">
        <v>32</v>
      </c>
      <c r="T45" s="2">
        <v>45907</v>
      </c>
      <c r="U45" t="s">
        <v>33</v>
      </c>
      <c r="V45">
        <v>530</v>
      </c>
    </row>
    <row r="46" spans="1:22">
      <c r="A46">
        <v>44</v>
      </c>
      <c r="B46">
        <v>0.5</v>
      </c>
      <c r="C46">
        <v>11.5</v>
      </c>
      <c r="D46" s="1" t="s">
        <v>294</v>
      </c>
      <c r="E46" s="1" t="s">
        <v>295</v>
      </c>
      <c r="F46" s="1" t="s">
        <v>294</v>
      </c>
      <c r="G46" s="1" t="s">
        <v>296</v>
      </c>
      <c r="H46" s="1" t="s">
        <v>296</v>
      </c>
      <c r="I46" s="1" t="s">
        <v>297</v>
      </c>
      <c r="J46" s="1" t="s">
        <v>298</v>
      </c>
      <c r="K46" s="1" t="s">
        <v>299</v>
      </c>
      <c r="L46">
        <v>0</v>
      </c>
      <c r="M46" s="1" t="s">
        <v>300</v>
      </c>
      <c r="N46">
        <v>186454</v>
      </c>
      <c r="O46" s="1" t="s">
        <v>28</v>
      </c>
      <c r="P46" t="s">
        <v>29</v>
      </c>
      <c r="Q46" t="s">
        <v>30</v>
      </c>
      <c r="R46" t="s">
        <v>31</v>
      </c>
      <c r="S46" t="s">
        <v>32</v>
      </c>
      <c r="T46" s="2">
        <v>45907</v>
      </c>
      <c r="U46" t="s">
        <v>33</v>
      </c>
      <c r="V46">
        <v>530</v>
      </c>
    </row>
    <row r="47" spans="1:22">
      <c r="A47">
        <v>45</v>
      </c>
      <c r="B47">
        <v>0.5</v>
      </c>
      <c r="C47">
        <v>12</v>
      </c>
      <c r="D47" s="1" t="s">
        <v>301</v>
      </c>
      <c r="E47" s="1" t="s">
        <v>302</v>
      </c>
      <c r="F47" s="1" t="s">
        <v>301</v>
      </c>
      <c r="G47" s="1" t="s">
        <v>303</v>
      </c>
      <c r="H47" s="1" t="s">
        <v>303</v>
      </c>
      <c r="I47" s="1" t="s">
        <v>304</v>
      </c>
      <c r="J47" s="1" t="s">
        <v>305</v>
      </c>
      <c r="K47" s="1" t="s">
        <v>306</v>
      </c>
      <c r="L47">
        <v>1</v>
      </c>
      <c r="M47" s="1" t="s">
        <v>307</v>
      </c>
      <c r="N47">
        <v>186454</v>
      </c>
      <c r="O47" s="1" t="s">
        <v>28</v>
      </c>
      <c r="P47" t="s">
        <v>29</v>
      </c>
      <c r="Q47" t="s">
        <v>30</v>
      </c>
      <c r="R47" t="s">
        <v>31</v>
      </c>
      <c r="S47" t="s">
        <v>32</v>
      </c>
      <c r="T47" s="2">
        <v>45907</v>
      </c>
      <c r="U47" t="s">
        <v>33</v>
      </c>
      <c r="V47">
        <v>530</v>
      </c>
    </row>
    <row r="48" spans="1:22">
      <c r="A48">
        <v>46</v>
      </c>
      <c r="B48">
        <v>0.5</v>
      </c>
      <c r="C48">
        <v>12</v>
      </c>
      <c r="D48" s="1" t="s">
        <v>308</v>
      </c>
      <c r="E48" s="1" t="s">
        <v>309</v>
      </c>
      <c r="F48" s="1" t="s">
        <v>308</v>
      </c>
      <c r="G48" s="1" t="s">
        <v>310</v>
      </c>
      <c r="H48" s="1" t="s">
        <v>310</v>
      </c>
      <c r="I48" s="1" t="s">
        <v>311</v>
      </c>
      <c r="J48" s="1" t="s">
        <v>312</v>
      </c>
      <c r="K48" s="1" t="s">
        <v>313</v>
      </c>
      <c r="L48">
        <v>0</v>
      </c>
      <c r="M48" s="1" t="s">
        <v>314</v>
      </c>
      <c r="N48">
        <v>186454</v>
      </c>
      <c r="O48" s="1" t="s">
        <v>28</v>
      </c>
      <c r="P48" t="s">
        <v>29</v>
      </c>
      <c r="Q48" t="s">
        <v>30</v>
      </c>
      <c r="R48" t="s">
        <v>31</v>
      </c>
      <c r="S48" t="s">
        <v>32</v>
      </c>
      <c r="T48" s="2">
        <v>45907</v>
      </c>
      <c r="U48" t="s">
        <v>33</v>
      </c>
      <c r="V48">
        <v>530</v>
      </c>
    </row>
    <row r="49" spans="1:22">
      <c r="A49">
        <v>47</v>
      </c>
      <c r="B49">
        <v>0.5</v>
      </c>
      <c r="C49">
        <v>12.5</v>
      </c>
      <c r="D49" s="1" t="s">
        <v>315</v>
      </c>
      <c r="E49">
        <v>2107.1412111250102</v>
      </c>
      <c r="F49" s="1" t="s">
        <v>315</v>
      </c>
      <c r="G49" s="1" t="s">
        <v>316</v>
      </c>
      <c r="H49" s="1" t="s">
        <v>316</v>
      </c>
      <c r="I49" s="1" t="s">
        <v>317</v>
      </c>
      <c r="J49" s="1" t="s">
        <v>318</v>
      </c>
      <c r="K49" s="1" t="s">
        <v>319</v>
      </c>
      <c r="L49">
        <v>0</v>
      </c>
      <c r="M49" s="1" t="s">
        <v>320</v>
      </c>
      <c r="N49">
        <v>186454</v>
      </c>
      <c r="O49" s="1" t="s">
        <v>28</v>
      </c>
      <c r="P49" t="s">
        <v>29</v>
      </c>
      <c r="Q49" t="s">
        <v>30</v>
      </c>
      <c r="R49" t="s">
        <v>31</v>
      </c>
      <c r="S49" t="s">
        <v>32</v>
      </c>
      <c r="T49" s="2">
        <v>45907</v>
      </c>
      <c r="U49" t="s">
        <v>33</v>
      </c>
      <c r="V49">
        <v>530</v>
      </c>
    </row>
    <row r="50" spans="1:22">
      <c r="A50">
        <v>48</v>
      </c>
      <c r="B50">
        <v>0.5</v>
      </c>
      <c r="C50">
        <v>13</v>
      </c>
      <c r="D50">
        <v>2108.1289253750001</v>
      </c>
      <c r="E50" s="1" t="s">
        <v>321</v>
      </c>
      <c r="F50">
        <v>2108.1289253750001</v>
      </c>
      <c r="G50" s="1" t="s">
        <v>322</v>
      </c>
      <c r="H50" s="1" t="s">
        <v>322</v>
      </c>
      <c r="I50" s="1" t="s">
        <v>323</v>
      </c>
      <c r="J50" s="1" t="s">
        <v>324</v>
      </c>
      <c r="K50" s="1" t="s">
        <v>325</v>
      </c>
      <c r="L50">
        <v>1</v>
      </c>
      <c r="M50">
        <v>0.70781591700506397</v>
      </c>
      <c r="N50">
        <v>186454</v>
      </c>
      <c r="O50" s="1" t="s">
        <v>28</v>
      </c>
      <c r="P50" t="s">
        <v>29</v>
      </c>
      <c r="Q50" t="s">
        <v>30</v>
      </c>
      <c r="R50" t="s">
        <v>31</v>
      </c>
      <c r="S50" t="s">
        <v>32</v>
      </c>
      <c r="T50" s="2">
        <v>45907</v>
      </c>
      <c r="U50" t="s">
        <v>33</v>
      </c>
      <c r="V50">
        <v>530</v>
      </c>
    </row>
    <row r="51" spans="1:22">
      <c r="A51">
        <v>49</v>
      </c>
      <c r="B51">
        <v>0.5</v>
      </c>
      <c r="C51">
        <v>13</v>
      </c>
      <c r="D51" s="1" t="s">
        <v>326</v>
      </c>
      <c r="E51" s="1" t="s">
        <v>327</v>
      </c>
      <c r="F51" s="1" t="s">
        <v>326</v>
      </c>
      <c r="G51" s="1" t="s">
        <v>328</v>
      </c>
      <c r="H51" s="1" t="s">
        <v>328</v>
      </c>
      <c r="I51">
        <v>2109.8271717090101</v>
      </c>
      <c r="J51" s="1" t="s">
        <v>329</v>
      </c>
      <c r="K51" s="1" t="s">
        <v>330</v>
      </c>
      <c r="L51">
        <v>1</v>
      </c>
      <c r="M51" s="1" t="s">
        <v>331</v>
      </c>
      <c r="N51">
        <v>186454</v>
      </c>
      <c r="O51" s="1" t="s">
        <v>28</v>
      </c>
      <c r="P51" t="s">
        <v>29</v>
      </c>
      <c r="Q51" t="s">
        <v>30</v>
      </c>
      <c r="R51" t="s">
        <v>31</v>
      </c>
      <c r="S51" t="s">
        <v>32</v>
      </c>
      <c r="T51" s="2">
        <v>45907</v>
      </c>
      <c r="U51" t="s">
        <v>33</v>
      </c>
      <c r="V51">
        <v>530</v>
      </c>
    </row>
    <row r="52" spans="1:22">
      <c r="A52">
        <v>50</v>
      </c>
      <c r="B52">
        <v>0.5</v>
      </c>
      <c r="C52">
        <v>13</v>
      </c>
      <c r="D52" s="1" t="s">
        <v>332</v>
      </c>
      <c r="E52" s="1" t="s">
        <v>333</v>
      </c>
      <c r="F52" s="1" t="s">
        <v>332</v>
      </c>
      <c r="G52" s="1" t="s">
        <v>334</v>
      </c>
      <c r="H52" s="1" t="s">
        <v>334</v>
      </c>
      <c r="I52" s="1" t="s">
        <v>335</v>
      </c>
      <c r="J52" s="1" t="s">
        <v>336</v>
      </c>
      <c r="K52" s="1" t="s">
        <v>337</v>
      </c>
      <c r="L52">
        <v>0</v>
      </c>
      <c r="M52">
        <v>0.50443045800784603</v>
      </c>
      <c r="N52">
        <v>186454</v>
      </c>
      <c r="O52" s="1" t="s">
        <v>28</v>
      </c>
      <c r="P52" t="s">
        <v>29</v>
      </c>
      <c r="Q52" t="s">
        <v>30</v>
      </c>
      <c r="R52" t="s">
        <v>31</v>
      </c>
      <c r="S52" t="s">
        <v>32</v>
      </c>
      <c r="T52" s="2">
        <v>45907</v>
      </c>
      <c r="U52" t="s">
        <v>33</v>
      </c>
      <c r="V52">
        <v>530</v>
      </c>
    </row>
    <row r="53" spans="1:22">
      <c r="A53">
        <v>51</v>
      </c>
      <c r="B53">
        <v>0.5</v>
      </c>
      <c r="C53">
        <v>13.5</v>
      </c>
      <c r="D53" s="1" t="s">
        <v>338</v>
      </c>
      <c r="E53" s="1" t="s">
        <v>339</v>
      </c>
      <c r="F53" s="1" t="s">
        <v>338</v>
      </c>
      <c r="G53" s="1" t="s">
        <v>340</v>
      </c>
      <c r="H53" s="1" t="s">
        <v>340</v>
      </c>
      <c r="I53" s="1" t="s">
        <v>341</v>
      </c>
      <c r="J53" s="1" t="s">
        <v>342</v>
      </c>
      <c r="K53" s="1" t="s">
        <v>343</v>
      </c>
      <c r="L53">
        <v>1</v>
      </c>
      <c r="M53" s="1" t="s">
        <v>344</v>
      </c>
      <c r="N53">
        <v>186454</v>
      </c>
      <c r="O53" s="1" t="s">
        <v>28</v>
      </c>
      <c r="P53" t="s">
        <v>29</v>
      </c>
      <c r="Q53" t="s">
        <v>30</v>
      </c>
      <c r="R53" t="s">
        <v>31</v>
      </c>
      <c r="S53" t="s">
        <v>32</v>
      </c>
      <c r="T53" s="2">
        <v>45907</v>
      </c>
      <c r="U53" t="s">
        <v>33</v>
      </c>
      <c r="V53">
        <v>530</v>
      </c>
    </row>
    <row r="54" spans="1:22">
      <c r="A54">
        <v>52</v>
      </c>
      <c r="B54">
        <v>0.5</v>
      </c>
      <c r="C54">
        <v>13.5</v>
      </c>
      <c r="D54" s="1" t="s">
        <v>345</v>
      </c>
      <c r="E54" s="1" t="s">
        <v>346</v>
      </c>
      <c r="F54" s="1" t="s">
        <v>345</v>
      </c>
      <c r="G54" s="1" t="s">
        <v>347</v>
      </c>
      <c r="H54" s="1" t="s">
        <v>347</v>
      </c>
      <c r="I54" s="1" t="s">
        <v>348</v>
      </c>
      <c r="J54" s="1" t="s">
        <v>349</v>
      </c>
      <c r="K54" s="1" t="s">
        <v>350</v>
      </c>
      <c r="L54">
        <v>1</v>
      </c>
      <c r="M54" s="1" t="s">
        <v>351</v>
      </c>
      <c r="N54">
        <v>186454</v>
      </c>
      <c r="O54" s="1" t="s">
        <v>28</v>
      </c>
      <c r="P54" t="s">
        <v>29</v>
      </c>
      <c r="Q54" t="s">
        <v>30</v>
      </c>
      <c r="R54" t="s">
        <v>31</v>
      </c>
      <c r="S54" t="s">
        <v>32</v>
      </c>
      <c r="T54" s="2">
        <v>45907</v>
      </c>
      <c r="U54" t="s">
        <v>33</v>
      </c>
      <c r="V54">
        <v>530</v>
      </c>
    </row>
    <row r="55" spans="1:22">
      <c r="A55">
        <v>53</v>
      </c>
      <c r="B55">
        <v>0.5</v>
      </c>
      <c r="C55">
        <v>13.5</v>
      </c>
      <c r="D55" s="1" t="s">
        <v>352</v>
      </c>
      <c r="E55" s="1" t="s">
        <v>353</v>
      </c>
      <c r="F55" s="1" t="s">
        <v>352</v>
      </c>
      <c r="G55" s="1" t="s">
        <v>354</v>
      </c>
      <c r="H55" s="1" t="s">
        <v>354</v>
      </c>
      <c r="I55" s="1" t="s">
        <v>355</v>
      </c>
      <c r="J55" s="1" t="s">
        <v>356</v>
      </c>
      <c r="K55" s="1" t="s">
        <v>357</v>
      </c>
      <c r="L55">
        <v>1</v>
      </c>
      <c r="M55" s="1" t="s">
        <v>358</v>
      </c>
      <c r="N55">
        <v>186454</v>
      </c>
      <c r="O55" s="1" t="s">
        <v>28</v>
      </c>
      <c r="P55" t="s">
        <v>29</v>
      </c>
      <c r="Q55" t="s">
        <v>30</v>
      </c>
      <c r="R55" t="s">
        <v>31</v>
      </c>
      <c r="S55" t="s">
        <v>32</v>
      </c>
      <c r="T55" s="2">
        <v>45907</v>
      </c>
      <c r="U55" t="s">
        <v>33</v>
      </c>
      <c r="V55">
        <v>530</v>
      </c>
    </row>
    <row r="56" spans="1:22">
      <c r="A56">
        <v>54</v>
      </c>
      <c r="B56">
        <v>0.5</v>
      </c>
      <c r="C56">
        <v>13</v>
      </c>
      <c r="D56" s="1" t="s">
        <v>359</v>
      </c>
      <c r="E56" s="1" t="s">
        <v>360</v>
      </c>
      <c r="F56" s="1" t="s">
        <v>359</v>
      </c>
      <c r="G56" s="1" t="s">
        <v>361</v>
      </c>
      <c r="H56" s="1" t="s">
        <v>361</v>
      </c>
      <c r="I56" s="1" t="s">
        <v>362</v>
      </c>
      <c r="J56" s="1" t="s">
        <v>363</v>
      </c>
      <c r="K56" s="1" t="s">
        <v>364</v>
      </c>
      <c r="L56">
        <v>0</v>
      </c>
      <c r="M56" s="1" t="s">
        <v>365</v>
      </c>
      <c r="N56">
        <v>186454</v>
      </c>
      <c r="O56" s="1" t="s">
        <v>28</v>
      </c>
      <c r="P56" t="s">
        <v>29</v>
      </c>
      <c r="Q56" t="s">
        <v>30</v>
      </c>
      <c r="R56" t="s">
        <v>31</v>
      </c>
      <c r="S56" t="s">
        <v>32</v>
      </c>
      <c r="T56" s="2">
        <v>45907</v>
      </c>
      <c r="U56" t="s">
        <v>33</v>
      </c>
      <c r="V56">
        <v>530</v>
      </c>
    </row>
    <row r="57" spans="1:22">
      <c r="A57">
        <v>55</v>
      </c>
      <c r="B57">
        <v>0.5</v>
      </c>
      <c r="C57">
        <v>13.5</v>
      </c>
      <c r="D57">
        <v>2115.8744959169999</v>
      </c>
      <c r="E57" s="1" t="s">
        <v>366</v>
      </c>
      <c r="F57">
        <v>2115.8744959169999</v>
      </c>
      <c r="G57" s="1" t="s">
        <v>367</v>
      </c>
      <c r="H57" s="1" t="s">
        <v>367</v>
      </c>
      <c r="I57" s="1" t="s">
        <v>367</v>
      </c>
      <c r="J57" s="1" t="s">
        <v>368</v>
      </c>
      <c r="K57" s="1" t="s">
        <v>369</v>
      </c>
      <c r="L57">
        <v>0</v>
      </c>
      <c r="M57" s="1" t="s">
        <v>370</v>
      </c>
      <c r="N57">
        <v>186454</v>
      </c>
      <c r="O57" s="1" t="s">
        <v>28</v>
      </c>
      <c r="P57" t="s">
        <v>29</v>
      </c>
      <c r="Q57" t="s">
        <v>30</v>
      </c>
      <c r="R57" t="s">
        <v>31</v>
      </c>
      <c r="S57" t="s">
        <v>32</v>
      </c>
      <c r="T57" s="2">
        <v>45907</v>
      </c>
      <c r="U57" t="s">
        <v>33</v>
      </c>
      <c r="V57">
        <v>530</v>
      </c>
    </row>
    <row r="58" spans="1:22">
      <c r="A58">
        <v>56</v>
      </c>
      <c r="B58">
        <v>0.5</v>
      </c>
      <c r="C58">
        <v>14</v>
      </c>
      <c r="D58" s="1" t="s">
        <v>371</v>
      </c>
      <c r="E58" s="1" t="s">
        <v>372</v>
      </c>
      <c r="F58" s="1" t="s">
        <v>371</v>
      </c>
      <c r="G58" s="1" t="s">
        <v>373</v>
      </c>
      <c r="H58" s="1" t="s">
        <v>373</v>
      </c>
      <c r="I58" s="1" t="s">
        <v>374</v>
      </c>
      <c r="J58" s="1" t="s">
        <v>375</v>
      </c>
      <c r="K58" s="1" t="s">
        <v>376</v>
      </c>
      <c r="L58">
        <v>1</v>
      </c>
      <c r="M58" s="1" t="s">
        <v>377</v>
      </c>
      <c r="N58">
        <v>186454</v>
      </c>
      <c r="O58" s="1" t="s">
        <v>28</v>
      </c>
      <c r="P58" t="s">
        <v>29</v>
      </c>
      <c r="Q58" t="s">
        <v>30</v>
      </c>
      <c r="R58" t="s">
        <v>31</v>
      </c>
      <c r="S58" t="s">
        <v>32</v>
      </c>
      <c r="T58" s="2">
        <v>45907</v>
      </c>
      <c r="U58" t="s">
        <v>33</v>
      </c>
      <c r="V58">
        <v>530</v>
      </c>
    </row>
    <row r="59" spans="1:22">
      <c r="A59">
        <v>57</v>
      </c>
      <c r="B59">
        <v>0.5</v>
      </c>
      <c r="C59">
        <v>14</v>
      </c>
      <c r="D59" s="1" t="s">
        <v>378</v>
      </c>
      <c r="E59" s="1" t="s">
        <v>379</v>
      </c>
      <c r="F59" s="1" t="s">
        <v>378</v>
      </c>
      <c r="G59" s="1" t="s">
        <v>380</v>
      </c>
      <c r="H59" s="1" t="s">
        <v>380</v>
      </c>
      <c r="I59" s="1" t="s">
        <v>381</v>
      </c>
      <c r="J59" s="1" t="s">
        <v>382</v>
      </c>
      <c r="K59" s="1" t="s">
        <v>383</v>
      </c>
      <c r="L59">
        <v>1</v>
      </c>
      <c r="M59">
        <v>0.55796508298953995</v>
      </c>
      <c r="N59">
        <v>186454</v>
      </c>
      <c r="O59" s="1" t="s">
        <v>28</v>
      </c>
      <c r="P59" t="s">
        <v>29</v>
      </c>
      <c r="Q59" t="s">
        <v>30</v>
      </c>
      <c r="R59" t="s">
        <v>31</v>
      </c>
      <c r="S59" t="s">
        <v>32</v>
      </c>
      <c r="T59" s="2">
        <v>45907</v>
      </c>
      <c r="U59" t="s">
        <v>33</v>
      </c>
      <c r="V59">
        <v>530</v>
      </c>
    </row>
    <row r="60" spans="1:22">
      <c r="A60">
        <v>58</v>
      </c>
      <c r="B60">
        <v>0.5</v>
      </c>
      <c r="C60">
        <v>14</v>
      </c>
      <c r="D60" s="1" t="s">
        <v>384</v>
      </c>
      <c r="E60" s="1" t="s">
        <v>385</v>
      </c>
      <c r="F60" s="1" t="s">
        <v>384</v>
      </c>
      <c r="G60" s="1" t="s">
        <v>386</v>
      </c>
      <c r="H60" s="1" t="s">
        <v>386</v>
      </c>
      <c r="I60" s="1" t="s">
        <v>387</v>
      </c>
      <c r="J60" s="1" t="s">
        <v>388</v>
      </c>
      <c r="K60" s="1" t="s">
        <v>389</v>
      </c>
      <c r="L60">
        <v>1</v>
      </c>
      <c r="M60" s="1" t="s">
        <v>390</v>
      </c>
      <c r="N60">
        <v>186454</v>
      </c>
      <c r="O60" s="1" t="s">
        <v>28</v>
      </c>
      <c r="P60" t="s">
        <v>29</v>
      </c>
      <c r="Q60" t="s">
        <v>30</v>
      </c>
      <c r="R60" t="s">
        <v>31</v>
      </c>
      <c r="S60" t="s">
        <v>32</v>
      </c>
      <c r="T60" s="2">
        <v>45907</v>
      </c>
      <c r="U60" t="s">
        <v>33</v>
      </c>
      <c r="V60">
        <v>530</v>
      </c>
    </row>
    <row r="61" spans="1:22">
      <c r="A61">
        <v>59</v>
      </c>
      <c r="B61">
        <v>0.5</v>
      </c>
      <c r="C61">
        <v>13.5</v>
      </c>
      <c r="D61" s="1" t="s">
        <v>391</v>
      </c>
      <c r="E61" s="1" t="s">
        <v>392</v>
      </c>
      <c r="F61" s="1" t="s">
        <v>391</v>
      </c>
      <c r="G61" s="1" t="s">
        <v>393</v>
      </c>
      <c r="H61" s="1" t="s">
        <v>393</v>
      </c>
      <c r="I61" s="1" t="s">
        <v>394</v>
      </c>
      <c r="J61" s="1" t="s">
        <v>395</v>
      </c>
      <c r="K61" s="1" t="s">
        <v>396</v>
      </c>
      <c r="L61">
        <v>1</v>
      </c>
      <c r="M61" s="1" t="s">
        <v>397</v>
      </c>
      <c r="N61">
        <v>186454</v>
      </c>
      <c r="O61" s="1" t="s">
        <v>28</v>
      </c>
      <c r="P61" t="s">
        <v>29</v>
      </c>
      <c r="Q61" t="s">
        <v>30</v>
      </c>
      <c r="R61" t="s">
        <v>31</v>
      </c>
      <c r="S61" t="s">
        <v>32</v>
      </c>
      <c r="T61" s="2">
        <v>45907</v>
      </c>
      <c r="U61" t="s">
        <v>33</v>
      </c>
      <c r="V61">
        <v>530</v>
      </c>
    </row>
    <row r="62" spans="1:22">
      <c r="A62">
        <v>60</v>
      </c>
      <c r="B62">
        <v>0.5</v>
      </c>
      <c r="C62">
        <v>13.5</v>
      </c>
      <c r="D62" s="1" t="s">
        <v>398</v>
      </c>
      <c r="E62" s="1" t="s">
        <v>399</v>
      </c>
      <c r="F62" s="1" t="s">
        <v>398</v>
      </c>
      <c r="G62" s="1" t="s">
        <v>400</v>
      </c>
      <c r="H62" s="1" t="s">
        <v>400</v>
      </c>
      <c r="I62" s="1" t="s">
        <v>401</v>
      </c>
      <c r="J62" s="1" t="s">
        <v>402</v>
      </c>
      <c r="K62" s="1" t="s">
        <v>403</v>
      </c>
      <c r="L62">
        <v>1</v>
      </c>
      <c r="M62" s="1" t="s">
        <v>404</v>
      </c>
      <c r="N62">
        <v>186454</v>
      </c>
      <c r="O62" s="1" t="s">
        <v>28</v>
      </c>
      <c r="P62" t="s">
        <v>29</v>
      </c>
      <c r="Q62" t="s">
        <v>30</v>
      </c>
      <c r="R62" t="s">
        <v>31</v>
      </c>
      <c r="S62" t="s">
        <v>32</v>
      </c>
      <c r="T62" s="2">
        <v>45907</v>
      </c>
      <c r="U62" t="s">
        <v>33</v>
      </c>
      <c r="V62">
        <v>530</v>
      </c>
    </row>
    <row r="63" spans="1:22">
      <c r="A63">
        <v>61</v>
      </c>
      <c r="B63">
        <v>0.5</v>
      </c>
      <c r="C63">
        <v>13.5</v>
      </c>
      <c r="D63" s="1" t="s">
        <v>405</v>
      </c>
      <c r="E63" s="1" t="s">
        <v>406</v>
      </c>
      <c r="F63" s="1" t="s">
        <v>405</v>
      </c>
      <c r="G63" s="1" t="s">
        <v>407</v>
      </c>
      <c r="H63" s="1" t="s">
        <v>407</v>
      </c>
      <c r="I63" s="1" t="s">
        <v>408</v>
      </c>
      <c r="J63" s="1" t="s">
        <v>409</v>
      </c>
      <c r="K63" s="1" t="s">
        <v>410</v>
      </c>
      <c r="L63">
        <v>0</v>
      </c>
      <c r="M63" s="1" t="s">
        <v>411</v>
      </c>
      <c r="N63">
        <v>186454</v>
      </c>
      <c r="O63" s="1" t="s">
        <v>28</v>
      </c>
      <c r="P63" t="s">
        <v>29</v>
      </c>
      <c r="Q63" t="s">
        <v>30</v>
      </c>
      <c r="R63" t="s">
        <v>31</v>
      </c>
      <c r="S63" t="s">
        <v>32</v>
      </c>
      <c r="T63" s="2">
        <v>45907</v>
      </c>
      <c r="U63" t="s">
        <v>33</v>
      </c>
      <c r="V63">
        <v>530</v>
      </c>
    </row>
    <row r="64" spans="1:22">
      <c r="A64">
        <v>62</v>
      </c>
      <c r="B64">
        <v>0.5</v>
      </c>
      <c r="C64">
        <v>14</v>
      </c>
      <c r="D64" s="1" t="s">
        <v>412</v>
      </c>
      <c r="E64" s="1" t="s">
        <v>413</v>
      </c>
      <c r="F64" s="1" t="s">
        <v>412</v>
      </c>
      <c r="G64" s="1" t="s">
        <v>414</v>
      </c>
      <c r="H64" s="1" t="s">
        <v>414</v>
      </c>
      <c r="I64" s="1" t="s">
        <v>415</v>
      </c>
      <c r="J64" s="1" t="s">
        <v>416</v>
      </c>
      <c r="K64" s="1" t="s">
        <v>417</v>
      </c>
      <c r="L64">
        <v>0</v>
      </c>
      <c r="M64" s="1" t="s">
        <v>418</v>
      </c>
      <c r="N64">
        <v>186454</v>
      </c>
      <c r="O64" s="1" t="s">
        <v>28</v>
      </c>
      <c r="P64" t="s">
        <v>29</v>
      </c>
      <c r="Q64" t="s">
        <v>30</v>
      </c>
      <c r="R64" t="s">
        <v>31</v>
      </c>
      <c r="S64" t="s">
        <v>32</v>
      </c>
      <c r="T64" s="2">
        <v>45907</v>
      </c>
      <c r="U64" t="s">
        <v>33</v>
      </c>
      <c r="V64">
        <v>530</v>
      </c>
    </row>
    <row r="65" spans="1:22">
      <c r="A65">
        <v>63</v>
      </c>
      <c r="B65">
        <v>0.5</v>
      </c>
      <c r="C65">
        <v>14.5</v>
      </c>
      <c r="D65" s="1" t="s">
        <v>419</v>
      </c>
      <c r="E65" s="1" t="s">
        <v>420</v>
      </c>
      <c r="F65" s="1" t="s">
        <v>419</v>
      </c>
      <c r="G65" s="1" t="s">
        <v>421</v>
      </c>
      <c r="H65" s="1" t="s">
        <v>421</v>
      </c>
      <c r="I65" s="1" t="s">
        <v>422</v>
      </c>
      <c r="J65" s="1" t="s">
        <v>423</v>
      </c>
      <c r="K65" s="1" t="s">
        <v>424</v>
      </c>
      <c r="L65">
        <v>1</v>
      </c>
      <c r="M65" s="1" t="s">
        <v>425</v>
      </c>
      <c r="N65">
        <v>186454</v>
      </c>
      <c r="O65" s="1" t="s">
        <v>28</v>
      </c>
      <c r="P65" t="s">
        <v>29</v>
      </c>
      <c r="Q65" t="s">
        <v>30</v>
      </c>
      <c r="R65" t="s">
        <v>31</v>
      </c>
      <c r="S65" t="s">
        <v>32</v>
      </c>
      <c r="T65" s="2">
        <v>45907</v>
      </c>
      <c r="U65" t="s">
        <v>33</v>
      </c>
      <c r="V65">
        <v>530</v>
      </c>
    </row>
    <row r="66" spans="1:22">
      <c r="A66">
        <v>64</v>
      </c>
      <c r="B66">
        <v>0.5</v>
      </c>
      <c r="C66">
        <v>14.5</v>
      </c>
      <c r="D66" s="1" t="s">
        <v>426</v>
      </c>
      <c r="E66" s="1" t="s">
        <v>427</v>
      </c>
      <c r="F66" s="1" t="s">
        <v>426</v>
      </c>
      <c r="G66" s="1" t="s">
        <v>428</v>
      </c>
      <c r="H66" s="1" t="s">
        <v>428</v>
      </c>
      <c r="I66" s="1" t="s">
        <v>429</v>
      </c>
      <c r="J66" s="1" t="s">
        <v>430</v>
      </c>
      <c r="K66" s="1" t="s">
        <v>431</v>
      </c>
      <c r="L66">
        <v>1</v>
      </c>
      <c r="M66" s="1" t="s">
        <v>432</v>
      </c>
      <c r="N66">
        <v>186454</v>
      </c>
      <c r="O66" s="1" t="s">
        <v>28</v>
      </c>
      <c r="P66" t="s">
        <v>29</v>
      </c>
      <c r="Q66" t="s">
        <v>30</v>
      </c>
      <c r="R66" t="s">
        <v>31</v>
      </c>
      <c r="S66" t="s">
        <v>32</v>
      </c>
      <c r="T66" s="2">
        <v>45907</v>
      </c>
      <c r="U66" t="s">
        <v>33</v>
      </c>
      <c r="V66">
        <v>530</v>
      </c>
    </row>
    <row r="67" spans="1:22">
      <c r="A67">
        <v>65</v>
      </c>
      <c r="B67">
        <v>0.5</v>
      </c>
      <c r="C67">
        <v>14.5</v>
      </c>
      <c r="D67" s="1" t="s">
        <v>433</v>
      </c>
      <c r="E67" s="1" t="s">
        <v>434</v>
      </c>
      <c r="F67" s="1" t="s">
        <v>433</v>
      </c>
      <c r="G67" s="1" t="s">
        <v>435</v>
      </c>
      <c r="H67" s="1" t="s">
        <v>435</v>
      </c>
      <c r="I67">
        <v>2127.3112760419899</v>
      </c>
      <c r="J67" s="1" t="s">
        <v>436</v>
      </c>
      <c r="K67" s="1" t="s">
        <v>437</v>
      </c>
      <c r="L67">
        <v>1</v>
      </c>
      <c r="M67" s="1" t="s">
        <v>438</v>
      </c>
      <c r="N67">
        <v>186454</v>
      </c>
      <c r="O67" s="1" t="s">
        <v>28</v>
      </c>
      <c r="P67" t="s">
        <v>29</v>
      </c>
      <c r="Q67" t="s">
        <v>30</v>
      </c>
      <c r="R67" t="s">
        <v>31</v>
      </c>
      <c r="S67" t="s">
        <v>32</v>
      </c>
      <c r="T67" s="2">
        <v>45907</v>
      </c>
      <c r="U67" t="s">
        <v>33</v>
      </c>
      <c r="V67">
        <v>530</v>
      </c>
    </row>
    <row r="68" spans="1:22">
      <c r="A68">
        <v>66</v>
      </c>
      <c r="B68">
        <v>0.5</v>
      </c>
      <c r="C68">
        <v>14</v>
      </c>
      <c r="D68" s="1" t="s">
        <v>439</v>
      </c>
      <c r="E68" s="1" t="s">
        <v>440</v>
      </c>
      <c r="F68" s="1" t="s">
        <v>439</v>
      </c>
      <c r="G68" s="1" t="s">
        <v>441</v>
      </c>
      <c r="H68" s="1" t="s">
        <v>441</v>
      </c>
      <c r="I68" s="1" t="s">
        <v>442</v>
      </c>
      <c r="J68" s="1" t="s">
        <v>443</v>
      </c>
      <c r="K68" s="1" t="s">
        <v>444</v>
      </c>
      <c r="L68">
        <v>1</v>
      </c>
      <c r="M68" s="1" t="s">
        <v>445</v>
      </c>
      <c r="N68">
        <v>186454</v>
      </c>
      <c r="O68" s="1" t="s">
        <v>28</v>
      </c>
      <c r="P68" t="s">
        <v>29</v>
      </c>
      <c r="Q68" t="s">
        <v>30</v>
      </c>
      <c r="R68" t="s">
        <v>31</v>
      </c>
      <c r="S68" t="s">
        <v>32</v>
      </c>
      <c r="T68" s="2">
        <v>45907</v>
      </c>
      <c r="U68" t="s">
        <v>33</v>
      </c>
      <c r="V68">
        <v>530</v>
      </c>
    </row>
    <row r="69" spans="1:22">
      <c r="A69">
        <v>67</v>
      </c>
      <c r="B69">
        <v>0.5</v>
      </c>
      <c r="C69">
        <v>14</v>
      </c>
      <c r="D69" s="1" t="s">
        <v>446</v>
      </c>
      <c r="E69" s="1" t="s">
        <v>447</v>
      </c>
      <c r="F69" s="1" t="s">
        <v>446</v>
      </c>
      <c r="G69" s="1" t="s">
        <v>448</v>
      </c>
      <c r="H69" s="1" t="s">
        <v>448</v>
      </c>
      <c r="I69" s="1" t="s">
        <v>448</v>
      </c>
      <c r="J69" s="1" t="s">
        <v>449</v>
      </c>
      <c r="K69" s="1" t="s">
        <v>450</v>
      </c>
      <c r="L69">
        <v>1</v>
      </c>
      <c r="M69" s="1" t="s">
        <v>451</v>
      </c>
      <c r="N69">
        <v>186454</v>
      </c>
      <c r="O69" s="1" t="s">
        <v>28</v>
      </c>
      <c r="P69" t="s">
        <v>29</v>
      </c>
      <c r="Q69" t="s">
        <v>30</v>
      </c>
      <c r="R69" t="s">
        <v>31</v>
      </c>
      <c r="S69" t="s">
        <v>32</v>
      </c>
      <c r="T69" s="2">
        <v>45907</v>
      </c>
      <c r="U69" t="s">
        <v>33</v>
      </c>
      <c r="V69">
        <v>530</v>
      </c>
    </row>
    <row r="70" spans="1:22">
      <c r="A70">
        <v>68</v>
      </c>
      <c r="B70">
        <v>0.5</v>
      </c>
      <c r="C70">
        <v>14</v>
      </c>
      <c r="D70" s="1" t="s">
        <v>452</v>
      </c>
      <c r="E70" s="1" t="s">
        <v>453</v>
      </c>
      <c r="F70" s="1" t="s">
        <v>452</v>
      </c>
      <c r="G70" s="1" t="s">
        <v>454</v>
      </c>
      <c r="H70" s="1" t="s">
        <v>454</v>
      </c>
      <c r="I70" s="1" t="s">
        <v>455</v>
      </c>
      <c r="J70" s="1" t="s">
        <v>456</v>
      </c>
      <c r="K70" s="1" t="s">
        <v>457</v>
      </c>
      <c r="L70">
        <v>1</v>
      </c>
      <c r="M70" s="1" t="s">
        <v>458</v>
      </c>
      <c r="N70">
        <v>186454</v>
      </c>
      <c r="O70" s="1" t="s">
        <v>28</v>
      </c>
      <c r="P70" t="s">
        <v>29</v>
      </c>
      <c r="Q70" t="s">
        <v>30</v>
      </c>
      <c r="R70" t="s">
        <v>31</v>
      </c>
      <c r="S70" t="s">
        <v>32</v>
      </c>
      <c r="T70" s="2">
        <v>45907</v>
      </c>
      <c r="U70" t="s">
        <v>33</v>
      </c>
      <c r="V70">
        <v>530</v>
      </c>
    </row>
    <row r="71" spans="1:22">
      <c r="A71">
        <v>69</v>
      </c>
      <c r="B71">
        <v>0.5</v>
      </c>
      <c r="C71">
        <v>13.5</v>
      </c>
      <c r="D71" s="1" t="s">
        <v>459</v>
      </c>
      <c r="E71" s="1" t="s">
        <v>460</v>
      </c>
      <c r="F71" s="1" t="s">
        <v>459</v>
      </c>
      <c r="G71" s="1" t="s">
        <v>461</v>
      </c>
      <c r="H71" s="1" t="s">
        <v>461</v>
      </c>
      <c r="I71" s="1" t="s">
        <v>462</v>
      </c>
      <c r="J71" s="1" t="s">
        <v>463</v>
      </c>
      <c r="K71" s="1" t="s">
        <v>464</v>
      </c>
      <c r="L71">
        <v>1</v>
      </c>
      <c r="M71" s="1" t="s">
        <v>465</v>
      </c>
      <c r="N71">
        <v>186454</v>
      </c>
      <c r="O71" s="1" t="s">
        <v>28</v>
      </c>
      <c r="P71" t="s">
        <v>29</v>
      </c>
      <c r="Q71" t="s">
        <v>30</v>
      </c>
      <c r="R71" t="s">
        <v>31</v>
      </c>
      <c r="S71" t="s">
        <v>32</v>
      </c>
      <c r="T71" s="2">
        <v>45907</v>
      </c>
      <c r="U71" t="s">
        <v>33</v>
      </c>
      <c r="V71">
        <v>530</v>
      </c>
    </row>
    <row r="72" spans="1:22">
      <c r="A72">
        <v>70</v>
      </c>
      <c r="B72">
        <v>0.5</v>
      </c>
      <c r="C72">
        <v>13.5</v>
      </c>
      <c r="D72" s="1" t="s">
        <v>466</v>
      </c>
      <c r="E72" s="1" t="s">
        <v>467</v>
      </c>
      <c r="F72" s="1" t="s">
        <v>466</v>
      </c>
      <c r="G72" s="1" t="s">
        <v>468</v>
      </c>
      <c r="H72" s="1" t="s">
        <v>468</v>
      </c>
      <c r="I72" s="1" t="s">
        <v>469</v>
      </c>
      <c r="J72" s="1" t="s">
        <v>470</v>
      </c>
      <c r="K72" s="1" t="s">
        <v>471</v>
      </c>
      <c r="L72">
        <v>1</v>
      </c>
      <c r="M72" s="1" t="s">
        <v>472</v>
      </c>
      <c r="N72">
        <v>186454</v>
      </c>
      <c r="O72" s="1" t="s">
        <v>28</v>
      </c>
      <c r="P72" t="s">
        <v>29</v>
      </c>
      <c r="Q72" t="s">
        <v>30</v>
      </c>
      <c r="R72" t="s">
        <v>31</v>
      </c>
      <c r="S72" t="s">
        <v>32</v>
      </c>
      <c r="T72" s="2">
        <v>45907</v>
      </c>
      <c r="U72" t="s">
        <v>33</v>
      </c>
      <c r="V72">
        <v>530</v>
      </c>
    </row>
    <row r="73" spans="1:22">
      <c r="A73">
        <v>71</v>
      </c>
      <c r="B73">
        <v>0.5</v>
      </c>
      <c r="C73">
        <v>13.5</v>
      </c>
      <c r="D73" s="1" t="s">
        <v>473</v>
      </c>
      <c r="E73" s="1" t="s">
        <v>474</v>
      </c>
      <c r="F73" s="1" t="s">
        <v>473</v>
      </c>
      <c r="G73" s="1" t="s">
        <v>475</v>
      </c>
      <c r="H73" s="1" t="s">
        <v>475</v>
      </c>
      <c r="I73" s="1" t="s">
        <v>476</v>
      </c>
      <c r="J73" s="1" t="s">
        <v>477</v>
      </c>
      <c r="K73" s="1" t="s">
        <v>478</v>
      </c>
      <c r="L73">
        <v>1</v>
      </c>
      <c r="M73">
        <v>0.70932837500004098</v>
      </c>
      <c r="N73">
        <v>186454</v>
      </c>
      <c r="O73" s="1" t="s">
        <v>28</v>
      </c>
      <c r="P73" t="s">
        <v>29</v>
      </c>
      <c r="Q73" t="s">
        <v>30</v>
      </c>
      <c r="R73" t="s">
        <v>31</v>
      </c>
      <c r="S73" t="s">
        <v>32</v>
      </c>
      <c r="T73" s="2">
        <v>45907</v>
      </c>
      <c r="U73" t="s">
        <v>33</v>
      </c>
      <c r="V73">
        <v>530</v>
      </c>
    </row>
    <row r="74" spans="1:22">
      <c r="A74">
        <v>72</v>
      </c>
      <c r="B74">
        <v>0.5</v>
      </c>
      <c r="C74">
        <v>13</v>
      </c>
      <c r="D74" s="1" t="s">
        <v>479</v>
      </c>
      <c r="E74" s="1" t="s">
        <v>480</v>
      </c>
      <c r="F74" s="1" t="s">
        <v>479</v>
      </c>
      <c r="G74" s="1" t="s">
        <v>481</v>
      </c>
      <c r="H74" s="1" t="s">
        <v>481</v>
      </c>
      <c r="I74" s="1" t="s">
        <v>482</v>
      </c>
      <c r="J74" s="1" t="s">
        <v>483</v>
      </c>
      <c r="K74" s="1" t="s">
        <v>484</v>
      </c>
      <c r="L74">
        <v>1</v>
      </c>
      <c r="M74" s="1" t="s">
        <v>485</v>
      </c>
      <c r="N74">
        <v>186454</v>
      </c>
      <c r="O74" s="1" t="s">
        <v>28</v>
      </c>
      <c r="P74" t="s">
        <v>29</v>
      </c>
      <c r="Q74" t="s">
        <v>30</v>
      </c>
      <c r="R74" t="s">
        <v>31</v>
      </c>
      <c r="S74" t="s">
        <v>32</v>
      </c>
      <c r="T74" s="2">
        <v>45907</v>
      </c>
      <c r="U74" t="s">
        <v>33</v>
      </c>
      <c r="V74">
        <v>530</v>
      </c>
    </row>
    <row r="75" spans="1:22">
      <c r="A75">
        <v>73</v>
      </c>
      <c r="B75">
        <v>0.5</v>
      </c>
      <c r="C75">
        <v>13</v>
      </c>
      <c r="D75" s="1" t="s">
        <v>486</v>
      </c>
      <c r="E75" s="1" t="s">
        <v>487</v>
      </c>
      <c r="F75" s="1" t="s">
        <v>486</v>
      </c>
      <c r="G75" s="1" t="s">
        <v>488</v>
      </c>
      <c r="H75" s="1" t="s">
        <v>488</v>
      </c>
      <c r="I75" s="1" t="s">
        <v>489</v>
      </c>
      <c r="J75" s="1" t="s">
        <v>490</v>
      </c>
      <c r="K75" s="1" t="s">
        <v>491</v>
      </c>
      <c r="L75">
        <v>1</v>
      </c>
      <c r="M75" s="1" t="s">
        <v>492</v>
      </c>
      <c r="N75">
        <v>186454</v>
      </c>
      <c r="O75" s="1" t="s">
        <v>28</v>
      </c>
      <c r="P75" t="s">
        <v>29</v>
      </c>
      <c r="Q75" t="s">
        <v>30</v>
      </c>
      <c r="R75" t="s">
        <v>31</v>
      </c>
      <c r="S75" t="s">
        <v>32</v>
      </c>
      <c r="T75" s="2">
        <v>45907</v>
      </c>
      <c r="U75" t="s">
        <v>33</v>
      </c>
      <c r="V75">
        <v>530</v>
      </c>
    </row>
    <row r="76" spans="1:22">
      <c r="A76">
        <v>74</v>
      </c>
      <c r="B76">
        <v>0.5</v>
      </c>
      <c r="C76">
        <v>13</v>
      </c>
      <c r="D76" s="1" t="s">
        <v>493</v>
      </c>
      <c r="E76" s="1" t="s">
        <v>494</v>
      </c>
      <c r="F76" s="1" t="s">
        <v>493</v>
      </c>
      <c r="G76" s="1" t="s">
        <v>495</v>
      </c>
      <c r="H76" s="1" t="s">
        <v>495</v>
      </c>
      <c r="I76" s="1" t="s">
        <v>496</v>
      </c>
      <c r="J76" s="1" t="s">
        <v>497</v>
      </c>
      <c r="K76">
        <v>2138.2586257919902</v>
      </c>
      <c r="L76">
        <v>1</v>
      </c>
      <c r="M76" s="1" t="s">
        <v>498</v>
      </c>
      <c r="N76">
        <v>186454</v>
      </c>
      <c r="O76" s="1" t="s">
        <v>28</v>
      </c>
      <c r="P76" t="s">
        <v>29</v>
      </c>
      <c r="Q76" t="s">
        <v>30</v>
      </c>
      <c r="R76" t="s">
        <v>31</v>
      </c>
      <c r="S76" t="s">
        <v>32</v>
      </c>
      <c r="T76" s="2">
        <v>45907</v>
      </c>
      <c r="U76" t="s">
        <v>33</v>
      </c>
      <c r="V76">
        <v>530</v>
      </c>
    </row>
    <row r="77" spans="1:22">
      <c r="A77">
        <v>75</v>
      </c>
      <c r="B77">
        <v>0.5</v>
      </c>
      <c r="C77">
        <v>12.5</v>
      </c>
      <c r="D77" s="1" t="s">
        <v>499</v>
      </c>
      <c r="E77" s="1" t="s">
        <v>500</v>
      </c>
      <c r="F77" s="1" t="s">
        <v>499</v>
      </c>
      <c r="G77" s="1" t="s">
        <v>501</v>
      </c>
      <c r="H77" s="1" t="s">
        <v>501</v>
      </c>
      <c r="I77" s="1" t="s">
        <v>502</v>
      </c>
      <c r="J77" s="1" t="s">
        <v>503</v>
      </c>
      <c r="K77" s="1" t="s">
        <v>504</v>
      </c>
      <c r="L77">
        <v>0</v>
      </c>
      <c r="M77" s="1" t="s">
        <v>505</v>
      </c>
      <c r="N77">
        <v>186454</v>
      </c>
      <c r="O77" s="1" t="s">
        <v>28</v>
      </c>
      <c r="P77" t="s">
        <v>29</v>
      </c>
      <c r="Q77" t="s">
        <v>30</v>
      </c>
      <c r="R77" t="s">
        <v>31</v>
      </c>
      <c r="S77" t="s">
        <v>32</v>
      </c>
      <c r="T77" s="2">
        <v>45907</v>
      </c>
      <c r="U77" t="s">
        <v>33</v>
      </c>
      <c r="V77">
        <v>530</v>
      </c>
    </row>
    <row r="78" spans="1:22">
      <c r="A78">
        <v>76</v>
      </c>
      <c r="B78">
        <v>0.5</v>
      </c>
      <c r="C78">
        <v>13</v>
      </c>
      <c r="D78" s="1" t="s">
        <v>506</v>
      </c>
      <c r="E78" s="1" t="s">
        <v>507</v>
      </c>
      <c r="F78" s="1" t="s">
        <v>506</v>
      </c>
      <c r="G78" s="1" t="s">
        <v>508</v>
      </c>
      <c r="H78" s="1" t="s">
        <v>508</v>
      </c>
      <c r="I78" s="1" t="s">
        <v>509</v>
      </c>
      <c r="J78" s="1" t="s">
        <v>510</v>
      </c>
      <c r="K78" s="1" t="s">
        <v>511</v>
      </c>
      <c r="L78">
        <v>1</v>
      </c>
      <c r="M78" s="1" t="s">
        <v>512</v>
      </c>
      <c r="N78">
        <v>186454</v>
      </c>
      <c r="O78" s="1" t="s">
        <v>28</v>
      </c>
      <c r="P78" t="s">
        <v>29</v>
      </c>
      <c r="Q78" t="s">
        <v>30</v>
      </c>
      <c r="R78" t="s">
        <v>31</v>
      </c>
      <c r="S78" t="s">
        <v>32</v>
      </c>
      <c r="T78" s="2">
        <v>45907</v>
      </c>
      <c r="U78" t="s">
        <v>33</v>
      </c>
      <c r="V78">
        <v>530</v>
      </c>
    </row>
    <row r="79" spans="1:22">
      <c r="A79">
        <v>77</v>
      </c>
      <c r="B79">
        <v>0.5</v>
      </c>
      <c r="C79">
        <v>13</v>
      </c>
      <c r="D79" s="1" t="s">
        <v>513</v>
      </c>
      <c r="E79" s="1" t="s">
        <v>514</v>
      </c>
      <c r="F79" s="1" t="s">
        <v>513</v>
      </c>
      <c r="G79" s="1" t="s">
        <v>515</v>
      </c>
      <c r="H79" s="1" t="s">
        <v>515</v>
      </c>
      <c r="I79" s="1" t="s">
        <v>515</v>
      </c>
      <c r="J79" s="1" t="s">
        <v>516</v>
      </c>
      <c r="K79" s="1" t="s">
        <v>517</v>
      </c>
      <c r="L79">
        <v>1</v>
      </c>
      <c r="M79" s="1" t="s">
        <v>518</v>
      </c>
      <c r="N79">
        <v>186454</v>
      </c>
      <c r="O79" s="1" t="s">
        <v>28</v>
      </c>
      <c r="P79" t="s">
        <v>29</v>
      </c>
      <c r="Q79" t="s">
        <v>30</v>
      </c>
      <c r="R79" t="s">
        <v>31</v>
      </c>
      <c r="S79" t="s">
        <v>32</v>
      </c>
      <c r="T79" s="2">
        <v>45907</v>
      </c>
      <c r="U79" t="s">
        <v>33</v>
      </c>
      <c r="V79">
        <v>530</v>
      </c>
    </row>
    <row r="80" spans="1:22">
      <c r="A80">
        <v>78</v>
      </c>
      <c r="B80">
        <v>0.5</v>
      </c>
      <c r="C80">
        <v>13</v>
      </c>
      <c r="D80" s="1" t="s">
        <v>519</v>
      </c>
      <c r="E80" s="1" t="s">
        <v>520</v>
      </c>
      <c r="F80" s="1" t="s">
        <v>519</v>
      </c>
      <c r="G80" s="1" t="s">
        <v>521</v>
      </c>
      <c r="H80" s="1" t="s">
        <v>521</v>
      </c>
      <c r="I80" s="1" t="s">
        <v>521</v>
      </c>
      <c r="J80" s="1" t="s">
        <v>522</v>
      </c>
      <c r="K80">
        <v>2142.8252822089999</v>
      </c>
      <c r="L80">
        <v>1</v>
      </c>
      <c r="M80" s="1" t="s">
        <v>523</v>
      </c>
      <c r="N80">
        <v>186454</v>
      </c>
      <c r="O80" s="1" t="s">
        <v>28</v>
      </c>
      <c r="P80" t="s">
        <v>29</v>
      </c>
      <c r="Q80" t="s">
        <v>30</v>
      </c>
      <c r="R80" t="s">
        <v>31</v>
      </c>
      <c r="S80" t="s">
        <v>32</v>
      </c>
      <c r="T80" s="2">
        <v>45907</v>
      </c>
      <c r="U80" t="s">
        <v>33</v>
      </c>
      <c r="V80">
        <v>530</v>
      </c>
    </row>
    <row r="81" spans="1:22">
      <c r="A81">
        <v>79</v>
      </c>
      <c r="B81">
        <v>0.5</v>
      </c>
      <c r="C81">
        <v>12.5</v>
      </c>
      <c r="D81" s="1" t="s">
        <v>524</v>
      </c>
      <c r="E81" s="1" t="s">
        <v>525</v>
      </c>
      <c r="F81" s="1" t="s">
        <v>524</v>
      </c>
      <c r="G81" s="1" t="s">
        <v>526</v>
      </c>
      <c r="H81" s="1" t="s">
        <v>526</v>
      </c>
      <c r="I81" s="1" t="s">
        <v>527</v>
      </c>
      <c r="J81" s="1" t="s">
        <v>528</v>
      </c>
      <c r="K81" s="1" t="s">
        <v>529</v>
      </c>
      <c r="L81">
        <v>1</v>
      </c>
      <c r="M81" s="1" t="s">
        <v>530</v>
      </c>
      <c r="N81">
        <v>186454</v>
      </c>
      <c r="O81" s="1" t="s">
        <v>28</v>
      </c>
      <c r="P81" t="s">
        <v>29</v>
      </c>
      <c r="Q81" t="s">
        <v>30</v>
      </c>
      <c r="R81" t="s">
        <v>31</v>
      </c>
      <c r="S81" t="s">
        <v>32</v>
      </c>
      <c r="T81" s="2">
        <v>45907</v>
      </c>
      <c r="U81" t="s">
        <v>33</v>
      </c>
      <c r="V81">
        <v>530</v>
      </c>
    </row>
    <row r="82" spans="1:22">
      <c r="A82">
        <v>80</v>
      </c>
      <c r="B82">
        <v>0.5</v>
      </c>
      <c r="C82">
        <v>12.5</v>
      </c>
      <c r="D82" s="1" t="s">
        <v>531</v>
      </c>
      <c r="E82" s="1" t="s">
        <v>532</v>
      </c>
      <c r="F82" s="1" t="s">
        <v>531</v>
      </c>
      <c r="G82" s="1" t="s">
        <v>533</v>
      </c>
      <c r="H82" s="1" t="s">
        <v>533</v>
      </c>
      <c r="I82" s="1" t="s">
        <v>534</v>
      </c>
      <c r="J82" s="1" t="s">
        <v>535</v>
      </c>
      <c r="K82" s="1" t="s">
        <v>536</v>
      </c>
      <c r="L82">
        <v>0</v>
      </c>
      <c r="M82" s="1" t="s">
        <v>537</v>
      </c>
      <c r="N82">
        <v>186454</v>
      </c>
      <c r="O82" s="1" t="s">
        <v>28</v>
      </c>
      <c r="P82" t="s">
        <v>29</v>
      </c>
      <c r="Q82" t="s">
        <v>30</v>
      </c>
      <c r="R82" t="s">
        <v>31</v>
      </c>
      <c r="S82" t="s">
        <v>32</v>
      </c>
      <c r="T82" s="2">
        <v>45907</v>
      </c>
      <c r="U82" t="s">
        <v>33</v>
      </c>
      <c r="V82">
        <v>530</v>
      </c>
    </row>
    <row r="83" spans="1:22">
      <c r="A83">
        <v>81</v>
      </c>
      <c r="B83">
        <v>0.5</v>
      </c>
      <c r="C83">
        <v>13</v>
      </c>
      <c r="D83" s="1" t="s">
        <v>538</v>
      </c>
      <c r="E83" s="1" t="s">
        <v>539</v>
      </c>
      <c r="F83" s="1" t="s">
        <v>538</v>
      </c>
      <c r="G83" s="1" t="s">
        <v>540</v>
      </c>
      <c r="H83" s="1" t="s">
        <v>540</v>
      </c>
      <c r="I83" s="1" t="s">
        <v>541</v>
      </c>
      <c r="J83" s="1" t="s">
        <v>542</v>
      </c>
      <c r="K83" s="1" t="s">
        <v>543</v>
      </c>
      <c r="L83">
        <v>1</v>
      </c>
      <c r="M83" s="1" t="s">
        <v>544</v>
      </c>
      <c r="N83">
        <v>186454</v>
      </c>
      <c r="O83" s="1" t="s">
        <v>28</v>
      </c>
      <c r="P83" t="s">
        <v>29</v>
      </c>
      <c r="Q83" t="s">
        <v>30</v>
      </c>
      <c r="R83" t="s">
        <v>31</v>
      </c>
      <c r="S83" t="s">
        <v>32</v>
      </c>
      <c r="T83" s="2">
        <v>45907</v>
      </c>
      <c r="U83" t="s">
        <v>33</v>
      </c>
      <c r="V83">
        <v>530</v>
      </c>
    </row>
    <row r="84" spans="1:22">
      <c r="A84">
        <v>82</v>
      </c>
      <c r="B84">
        <v>0.5</v>
      </c>
      <c r="C84">
        <v>13</v>
      </c>
      <c r="D84" s="1" t="s">
        <v>545</v>
      </c>
      <c r="E84" s="1" t="s">
        <v>546</v>
      </c>
      <c r="F84" s="1" t="s">
        <v>545</v>
      </c>
      <c r="G84" s="1" t="s">
        <v>547</v>
      </c>
      <c r="H84" s="1" t="s">
        <v>547</v>
      </c>
      <c r="I84" s="1" t="s">
        <v>547</v>
      </c>
      <c r="J84" s="1" t="s">
        <v>548</v>
      </c>
      <c r="K84">
        <v>2147.0252955420001</v>
      </c>
      <c r="L84">
        <v>1</v>
      </c>
      <c r="M84" s="1" t="s">
        <v>549</v>
      </c>
      <c r="N84">
        <v>186454</v>
      </c>
      <c r="O84" s="1" t="s">
        <v>28</v>
      </c>
      <c r="P84" t="s">
        <v>29</v>
      </c>
      <c r="Q84" t="s">
        <v>30</v>
      </c>
      <c r="R84" t="s">
        <v>31</v>
      </c>
      <c r="S84" t="s">
        <v>32</v>
      </c>
      <c r="T84" s="2">
        <v>45907</v>
      </c>
      <c r="U84" t="s">
        <v>33</v>
      </c>
      <c r="V84">
        <v>530</v>
      </c>
    </row>
    <row r="85" spans="1:22">
      <c r="A85">
        <v>83</v>
      </c>
      <c r="B85">
        <v>0.5</v>
      </c>
      <c r="C85">
        <v>13</v>
      </c>
      <c r="D85" s="1" t="s">
        <v>550</v>
      </c>
      <c r="E85" s="1" t="s">
        <v>551</v>
      </c>
      <c r="F85" s="1" t="s">
        <v>550</v>
      </c>
      <c r="G85" s="1" t="s">
        <v>552</v>
      </c>
      <c r="H85" s="1" t="s">
        <v>552</v>
      </c>
      <c r="I85" s="1" t="s">
        <v>553</v>
      </c>
      <c r="J85" s="1" t="s">
        <v>554</v>
      </c>
      <c r="K85" s="1" t="s">
        <v>555</v>
      </c>
      <c r="L85">
        <v>1</v>
      </c>
      <c r="M85" s="1" t="s">
        <v>556</v>
      </c>
      <c r="N85">
        <v>186454</v>
      </c>
      <c r="O85" s="1" t="s">
        <v>28</v>
      </c>
      <c r="P85" t="s">
        <v>29</v>
      </c>
      <c r="Q85" t="s">
        <v>30</v>
      </c>
      <c r="R85" t="s">
        <v>31</v>
      </c>
      <c r="S85" t="s">
        <v>32</v>
      </c>
      <c r="T85" s="2">
        <v>45907</v>
      </c>
      <c r="U85" t="s">
        <v>33</v>
      </c>
      <c r="V85">
        <v>530</v>
      </c>
    </row>
    <row r="86" spans="1:22">
      <c r="A86">
        <v>84</v>
      </c>
      <c r="B86">
        <v>0.5</v>
      </c>
      <c r="C86">
        <v>12.5</v>
      </c>
      <c r="D86" s="1" t="s">
        <v>557</v>
      </c>
      <c r="E86" s="1" t="s">
        <v>558</v>
      </c>
      <c r="F86" s="1" t="s">
        <v>557</v>
      </c>
      <c r="G86" s="1" t="s">
        <v>559</v>
      </c>
      <c r="H86" s="1" t="s">
        <v>559</v>
      </c>
      <c r="I86" s="1" t="s">
        <v>560</v>
      </c>
      <c r="J86" s="1" t="s">
        <v>561</v>
      </c>
      <c r="K86" s="1" t="s">
        <v>562</v>
      </c>
      <c r="L86">
        <v>0</v>
      </c>
      <c r="M86" s="1" t="s">
        <v>563</v>
      </c>
      <c r="N86">
        <v>186454</v>
      </c>
      <c r="O86" s="1" t="s">
        <v>28</v>
      </c>
      <c r="P86" t="s">
        <v>29</v>
      </c>
      <c r="Q86" t="s">
        <v>30</v>
      </c>
      <c r="R86" t="s">
        <v>31</v>
      </c>
      <c r="S86" t="s">
        <v>32</v>
      </c>
      <c r="T86" s="2">
        <v>45907</v>
      </c>
      <c r="U86" t="s">
        <v>33</v>
      </c>
      <c r="V86">
        <v>530</v>
      </c>
    </row>
    <row r="87" spans="1:22">
      <c r="A87">
        <v>85</v>
      </c>
      <c r="B87">
        <v>0.5</v>
      </c>
      <c r="C87">
        <v>13</v>
      </c>
      <c r="D87" s="1" t="s">
        <v>564</v>
      </c>
      <c r="E87" s="1" t="s">
        <v>565</v>
      </c>
      <c r="F87" s="1" t="s">
        <v>564</v>
      </c>
      <c r="G87" s="1" t="s">
        <v>566</v>
      </c>
      <c r="H87" s="1" t="s">
        <v>566</v>
      </c>
      <c r="I87" s="1" t="s">
        <v>567</v>
      </c>
      <c r="J87" s="1" t="s">
        <v>568</v>
      </c>
      <c r="K87" s="1" t="s">
        <v>569</v>
      </c>
      <c r="L87">
        <v>1</v>
      </c>
      <c r="M87" s="1" t="s">
        <v>570</v>
      </c>
      <c r="N87">
        <v>186454</v>
      </c>
      <c r="O87" s="1" t="s">
        <v>28</v>
      </c>
      <c r="P87" t="s">
        <v>29</v>
      </c>
      <c r="Q87" t="s">
        <v>30</v>
      </c>
      <c r="R87" t="s">
        <v>31</v>
      </c>
      <c r="S87" t="s">
        <v>32</v>
      </c>
      <c r="T87" s="2">
        <v>45907</v>
      </c>
      <c r="U87" t="s">
        <v>33</v>
      </c>
      <c r="V87">
        <v>530</v>
      </c>
    </row>
    <row r="88" spans="1:22">
      <c r="A88">
        <v>86</v>
      </c>
      <c r="B88">
        <v>0.5</v>
      </c>
      <c r="C88">
        <v>13</v>
      </c>
      <c r="D88" s="1" t="s">
        <v>571</v>
      </c>
      <c r="E88" s="1" t="s">
        <v>572</v>
      </c>
      <c r="F88" s="1" t="s">
        <v>571</v>
      </c>
      <c r="G88" s="1" t="s">
        <v>573</v>
      </c>
      <c r="H88" s="1" t="s">
        <v>573</v>
      </c>
      <c r="I88" s="1" t="s">
        <v>574</v>
      </c>
      <c r="J88">
        <v>2150.961152459</v>
      </c>
      <c r="K88" s="1" t="s">
        <v>575</v>
      </c>
      <c r="L88">
        <v>1</v>
      </c>
      <c r="M88" s="1" t="s">
        <v>576</v>
      </c>
      <c r="N88">
        <v>186454</v>
      </c>
      <c r="O88" s="1" t="s">
        <v>28</v>
      </c>
      <c r="P88" t="s">
        <v>29</v>
      </c>
      <c r="Q88" t="s">
        <v>30</v>
      </c>
      <c r="R88" t="s">
        <v>31</v>
      </c>
      <c r="S88" t="s">
        <v>32</v>
      </c>
      <c r="T88" s="2">
        <v>45907</v>
      </c>
      <c r="U88" t="s">
        <v>33</v>
      </c>
      <c r="V88">
        <v>530</v>
      </c>
    </row>
    <row r="89" spans="1:22">
      <c r="A89">
        <v>87</v>
      </c>
      <c r="B89">
        <v>0.5</v>
      </c>
      <c r="C89">
        <v>13</v>
      </c>
      <c r="D89" s="1" t="s">
        <v>577</v>
      </c>
      <c r="E89" s="1" t="s">
        <v>578</v>
      </c>
      <c r="F89" s="1" t="s">
        <v>577</v>
      </c>
      <c r="G89">
        <v>2151.761004</v>
      </c>
      <c r="H89">
        <v>2151.761004</v>
      </c>
      <c r="I89">
        <v>2151.761004</v>
      </c>
      <c r="J89" s="1" t="s">
        <v>579</v>
      </c>
      <c r="K89" s="1" t="s">
        <v>580</v>
      </c>
      <c r="L89">
        <v>0</v>
      </c>
      <c r="M89" s="1" t="s">
        <v>581</v>
      </c>
      <c r="N89">
        <v>186454</v>
      </c>
      <c r="O89" s="1" t="s">
        <v>28</v>
      </c>
      <c r="P89" t="s">
        <v>29</v>
      </c>
      <c r="Q89" t="s">
        <v>30</v>
      </c>
      <c r="R89" t="s">
        <v>31</v>
      </c>
      <c r="S89" t="s">
        <v>32</v>
      </c>
      <c r="T89" s="2">
        <v>45907</v>
      </c>
      <c r="U89" t="s">
        <v>33</v>
      </c>
      <c r="V89">
        <v>530</v>
      </c>
    </row>
    <row r="90" spans="1:22">
      <c r="A90">
        <v>88</v>
      </c>
      <c r="B90">
        <v>0.5</v>
      </c>
      <c r="C90">
        <v>13.5</v>
      </c>
      <c r="D90" s="1" t="s">
        <v>582</v>
      </c>
      <c r="E90" s="1" t="s">
        <v>583</v>
      </c>
      <c r="F90" s="1" t="s">
        <v>582</v>
      </c>
      <c r="G90" s="1" t="s">
        <v>584</v>
      </c>
      <c r="H90" s="1" t="s">
        <v>584</v>
      </c>
      <c r="I90" s="1" t="s">
        <v>585</v>
      </c>
      <c r="J90" s="1" t="s">
        <v>586</v>
      </c>
      <c r="K90" s="1" t="s">
        <v>587</v>
      </c>
      <c r="L90">
        <v>1</v>
      </c>
      <c r="M90" s="1" t="s">
        <v>588</v>
      </c>
      <c r="N90">
        <v>186454</v>
      </c>
      <c r="O90" s="1" t="s">
        <v>28</v>
      </c>
      <c r="P90" t="s">
        <v>29</v>
      </c>
      <c r="Q90" t="s">
        <v>30</v>
      </c>
      <c r="R90" t="s">
        <v>31</v>
      </c>
      <c r="S90" t="s">
        <v>32</v>
      </c>
      <c r="T90" s="2">
        <v>45907</v>
      </c>
      <c r="U90" t="s">
        <v>33</v>
      </c>
      <c r="V90">
        <v>530</v>
      </c>
    </row>
    <row r="91" spans="1:22">
      <c r="A91">
        <v>89</v>
      </c>
      <c r="B91">
        <v>0.5</v>
      </c>
      <c r="C91">
        <v>13.5</v>
      </c>
      <c r="D91" s="1" t="s">
        <v>589</v>
      </c>
      <c r="E91" s="1" t="s">
        <v>590</v>
      </c>
      <c r="F91" s="1" t="s">
        <v>589</v>
      </c>
      <c r="G91" s="1" t="s">
        <v>591</v>
      </c>
      <c r="H91" s="1" t="s">
        <v>591</v>
      </c>
      <c r="I91" s="1" t="s">
        <v>592</v>
      </c>
      <c r="J91">
        <v>2154.5109916669899</v>
      </c>
      <c r="K91" s="1" t="s">
        <v>593</v>
      </c>
      <c r="L91">
        <v>0</v>
      </c>
      <c r="M91" s="1" t="s">
        <v>594</v>
      </c>
      <c r="N91">
        <v>186454</v>
      </c>
      <c r="O91" s="1" t="s">
        <v>28</v>
      </c>
      <c r="P91" t="s">
        <v>29</v>
      </c>
      <c r="Q91" t="s">
        <v>30</v>
      </c>
      <c r="R91" t="s">
        <v>31</v>
      </c>
      <c r="S91" t="s">
        <v>32</v>
      </c>
      <c r="T91" s="2">
        <v>45907</v>
      </c>
      <c r="U91" t="s">
        <v>33</v>
      </c>
      <c r="V91">
        <v>530</v>
      </c>
    </row>
    <row r="92" spans="1:22">
      <c r="A92">
        <v>90</v>
      </c>
      <c r="B92">
        <v>0.5</v>
      </c>
      <c r="C92">
        <v>14</v>
      </c>
      <c r="D92" s="1" t="s">
        <v>595</v>
      </c>
      <c r="E92" s="1" t="s">
        <v>596</v>
      </c>
      <c r="F92" s="1" t="s">
        <v>595</v>
      </c>
      <c r="G92" s="1" t="s">
        <v>597</v>
      </c>
      <c r="H92" s="1" t="s">
        <v>597</v>
      </c>
      <c r="I92" s="1" t="s">
        <v>598</v>
      </c>
      <c r="J92" s="1" t="s">
        <v>599</v>
      </c>
      <c r="K92" s="1" t="s">
        <v>600</v>
      </c>
      <c r="L92">
        <v>0</v>
      </c>
      <c r="M92" s="1" t="s">
        <v>601</v>
      </c>
      <c r="N92">
        <v>186454</v>
      </c>
      <c r="O92" s="1" t="s">
        <v>28</v>
      </c>
      <c r="P92" t="s">
        <v>29</v>
      </c>
      <c r="Q92" t="s">
        <v>30</v>
      </c>
      <c r="R92" t="s">
        <v>31</v>
      </c>
      <c r="S92" t="s">
        <v>32</v>
      </c>
      <c r="T92" s="2">
        <v>45907</v>
      </c>
      <c r="U92" t="s">
        <v>33</v>
      </c>
      <c r="V92">
        <v>530</v>
      </c>
    </row>
    <row r="93" spans="1:22">
      <c r="A93">
        <v>91</v>
      </c>
      <c r="B93">
        <v>0.5</v>
      </c>
      <c r="C93">
        <v>14.5</v>
      </c>
      <c r="D93" s="1" t="s">
        <v>602</v>
      </c>
      <c r="E93" s="1" t="s">
        <v>603</v>
      </c>
      <c r="F93" s="1" t="s">
        <v>602</v>
      </c>
      <c r="G93" s="1" t="s">
        <v>604</v>
      </c>
      <c r="H93" s="1" t="s">
        <v>604</v>
      </c>
      <c r="I93" s="1" t="s">
        <v>604</v>
      </c>
      <c r="J93" s="1" t="s">
        <v>605</v>
      </c>
      <c r="K93" s="1" t="s">
        <v>606</v>
      </c>
      <c r="L93">
        <v>1</v>
      </c>
      <c r="M93" s="1" t="s">
        <v>607</v>
      </c>
      <c r="N93">
        <v>186454</v>
      </c>
      <c r="O93" s="1" t="s">
        <v>28</v>
      </c>
      <c r="P93" t="s">
        <v>29</v>
      </c>
      <c r="Q93" t="s">
        <v>30</v>
      </c>
      <c r="R93" t="s">
        <v>31</v>
      </c>
      <c r="S93" t="s">
        <v>32</v>
      </c>
      <c r="T93" s="2">
        <v>45907</v>
      </c>
      <c r="U93" t="s">
        <v>33</v>
      </c>
      <c r="V93">
        <v>530</v>
      </c>
    </row>
    <row r="94" spans="1:22">
      <c r="A94">
        <v>92</v>
      </c>
      <c r="B94">
        <v>0.5</v>
      </c>
      <c r="C94">
        <v>14.5</v>
      </c>
      <c r="D94" s="1" t="s">
        <v>608</v>
      </c>
      <c r="E94" s="1" t="s">
        <v>609</v>
      </c>
      <c r="F94" s="1" t="s">
        <v>608</v>
      </c>
      <c r="G94" s="1" t="s">
        <v>610</v>
      </c>
      <c r="H94" s="1" t="s">
        <v>610</v>
      </c>
      <c r="I94" s="1" t="s">
        <v>610</v>
      </c>
      <c r="J94" s="1" t="s">
        <v>611</v>
      </c>
      <c r="K94" s="1" t="s">
        <v>612</v>
      </c>
      <c r="L94">
        <v>1</v>
      </c>
      <c r="M94" s="1" t="s">
        <v>613</v>
      </c>
      <c r="N94">
        <v>186454</v>
      </c>
      <c r="O94" s="1" t="s">
        <v>28</v>
      </c>
      <c r="P94" t="s">
        <v>29</v>
      </c>
      <c r="Q94" t="s">
        <v>30</v>
      </c>
      <c r="R94" t="s">
        <v>31</v>
      </c>
      <c r="S94" t="s">
        <v>32</v>
      </c>
      <c r="T94" s="2">
        <v>45907</v>
      </c>
      <c r="U94" t="s">
        <v>33</v>
      </c>
      <c r="V94">
        <v>530</v>
      </c>
    </row>
    <row r="95" spans="1:22">
      <c r="A95">
        <v>93</v>
      </c>
      <c r="B95">
        <v>0.5</v>
      </c>
      <c r="C95">
        <v>14.5</v>
      </c>
      <c r="D95" s="1" t="s">
        <v>614</v>
      </c>
      <c r="E95" s="1" t="s">
        <v>615</v>
      </c>
      <c r="F95" s="1" t="s">
        <v>614</v>
      </c>
      <c r="G95" s="1" t="s">
        <v>616</v>
      </c>
      <c r="H95" s="1" t="s">
        <v>616</v>
      </c>
      <c r="I95" s="1" t="s">
        <v>617</v>
      </c>
      <c r="J95">
        <v>2159.1439728339901</v>
      </c>
      <c r="K95" s="1" t="s">
        <v>618</v>
      </c>
      <c r="L95">
        <v>0</v>
      </c>
      <c r="M95" s="1" t="s">
        <v>619</v>
      </c>
      <c r="N95">
        <v>186454</v>
      </c>
      <c r="O95" s="1" t="s">
        <v>28</v>
      </c>
      <c r="P95" t="s">
        <v>29</v>
      </c>
      <c r="Q95" t="s">
        <v>30</v>
      </c>
      <c r="R95" t="s">
        <v>31</v>
      </c>
      <c r="S95" t="s">
        <v>32</v>
      </c>
      <c r="T95" s="2">
        <v>45907</v>
      </c>
      <c r="U95" t="s">
        <v>33</v>
      </c>
      <c r="V95">
        <v>530</v>
      </c>
    </row>
    <row r="96" spans="1:22">
      <c r="A96">
        <v>94</v>
      </c>
      <c r="B96">
        <v>0.5</v>
      </c>
      <c r="C96">
        <v>15</v>
      </c>
      <c r="D96" s="1" t="s">
        <v>620</v>
      </c>
      <c r="E96" s="1" t="s">
        <v>621</v>
      </c>
      <c r="F96" s="1" t="s">
        <v>620</v>
      </c>
      <c r="G96" s="1" t="s">
        <v>622</v>
      </c>
      <c r="H96" s="1" t="s">
        <v>622</v>
      </c>
      <c r="I96">
        <v>2159.9274358339899</v>
      </c>
      <c r="J96" s="1" t="s">
        <v>623</v>
      </c>
      <c r="K96" s="1" t="s">
        <v>624</v>
      </c>
      <c r="L96">
        <v>1</v>
      </c>
      <c r="M96" s="1" t="s">
        <v>625</v>
      </c>
      <c r="N96">
        <v>186454</v>
      </c>
      <c r="O96" s="1" t="s">
        <v>28</v>
      </c>
      <c r="P96" t="s">
        <v>29</v>
      </c>
      <c r="Q96" t="s">
        <v>30</v>
      </c>
      <c r="R96" t="s">
        <v>31</v>
      </c>
      <c r="S96" t="s">
        <v>32</v>
      </c>
      <c r="T96" s="2">
        <v>45907</v>
      </c>
      <c r="U96" t="s">
        <v>33</v>
      </c>
      <c r="V96">
        <v>530</v>
      </c>
    </row>
    <row r="97" spans="1:22">
      <c r="A97">
        <v>95</v>
      </c>
      <c r="B97">
        <v>0.5</v>
      </c>
      <c r="C97">
        <v>15</v>
      </c>
      <c r="D97" s="1" t="s">
        <v>626</v>
      </c>
      <c r="E97" s="1" t="s">
        <v>627</v>
      </c>
      <c r="F97" s="1" t="s">
        <v>626</v>
      </c>
      <c r="G97" s="1" t="s">
        <v>628</v>
      </c>
      <c r="H97" s="1" t="s">
        <v>628</v>
      </c>
      <c r="I97" s="1" t="s">
        <v>628</v>
      </c>
      <c r="J97" s="1" t="s">
        <v>629</v>
      </c>
      <c r="K97" s="1" t="s">
        <v>630</v>
      </c>
      <c r="L97">
        <v>1</v>
      </c>
      <c r="M97" s="1" t="s">
        <v>631</v>
      </c>
      <c r="N97">
        <v>186454</v>
      </c>
      <c r="O97" s="1" t="s">
        <v>28</v>
      </c>
      <c r="P97" t="s">
        <v>29</v>
      </c>
      <c r="Q97" t="s">
        <v>30</v>
      </c>
      <c r="R97" t="s">
        <v>31</v>
      </c>
      <c r="S97" t="s">
        <v>32</v>
      </c>
      <c r="T97" s="2">
        <v>45907</v>
      </c>
      <c r="U97" t="s">
        <v>33</v>
      </c>
      <c r="V97">
        <v>530</v>
      </c>
    </row>
    <row r="98" spans="1:22">
      <c r="A98">
        <v>96</v>
      </c>
      <c r="B98">
        <v>0.5</v>
      </c>
      <c r="C98">
        <v>15</v>
      </c>
      <c r="D98" s="1" t="s">
        <v>632</v>
      </c>
      <c r="E98" s="1" t="s">
        <v>633</v>
      </c>
      <c r="F98" s="1" t="s">
        <v>632</v>
      </c>
      <c r="G98" s="1" t="s">
        <v>634</v>
      </c>
      <c r="H98" s="1" t="s">
        <v>634</v>
      </c>
      <c r="I98" s="1" t="s">
        <v>635</v>
      </c>
      <c r="J98" s="1" t="s">
        <v>636</v>
      </c>
      <c r="K98" s="1" t="s">
        <v>637</v>
      </c>
      <c r="L98">
        <v>1</v>
      </c>
      <c r="M98" s="1" t="s">
        <v>638</v>
      </c>
      <c r="N98">
        <v>186454</v>
      </c>
      <c r="O98" s="1" t="s">
        <v>28</v>
      </c>
      <c r="P98" t="s">
        <v>29</v>
      </c>
      <c r="Q98" t="s">
        <v>30</v>
      </c>
      <c r="R98" t="s">
        <v>31</v>
      </c>
      <c r="S98" t="s">
        <v>32</v>
      </c>
      <c r="T98" s="2">
        <v>45907</v>
      </c>
      <c r="U98" t="s">
        <v>33</v>
      </c>
      <c r="V98">
        <v>530</v>
      </c>
    </row>
    <row r="99" spans="1:22">
      <c r="A99">
        <v>97</v>
      </c>
      <c r="B99">
        <v>0.5</v>
      </c>
      <c r="C99">
        <v>14.5</v>
      </c>
      <c r="D99" s="1" t="s">
        <v>639</v>
      </c>
      <c r="E99" s="1" t="s">
        <v>640</v>
      </c>
      <c r="F99" s="1" t="s">
        <v>639</v>
      </c>
      <c r="G99" s="1" t="s">
        <v>641</v>
      </c>
      <c r="H99" s="1" t="s">
        <v>641</v>
      </c>
      <c r="I99" s="1" t="s">
        <v>642</v>
      </c>
      <c r="J99" s="1" t="s">
        <v>643</v>
      </c>
      <c r="K99" s="1" t="s">
        <v>644</v>
      </c>
      <c r="L99">
        <v>1</v>
      </c>
      <c r="M99" s="1" t="s">
        <v>645</v>
      </c>
      <c r="N99">
        <v>186454</v>
      </c>
      <c r="O99" s="1" t="s">
        <v>28</v>
      </c>
      <c r="P99" t="s">
        <v>29</v>
      </c>
      <c r="Q99" t="s">
        <v>30</v>
      </c>
      <c r="R99" t="s">
        <v>31</v>
      </c>
      <c r="S99" t="s">
        <v>32</v>
      </c>
      <c r="T99" s="2">
        <v>45907</v>
      </c>
      <c r="U99" t="s">
        <v>33</v>
      </c>
      <c r="V99">
        <v>530</v>
      </c>
    </row>
    <row r="100" spans="1:22">
      <c r="A100">
        <v>98</v>
      </c>
      <c r="B100">
        <v>0.5</v>
      </c>
      <c r="C100">
        <v>14.5</v>
      </c>
      <c r="D100" s="1" t="s">
        <v>646</v>
      </c>
      <c r="E100" s="1" t="s">
        <v>647</v>
      </c>
      <c r="F100" s="1" t="s">
        <v>646</v>
      </c>
      <c r="G100" s="1" t="s">
        <v>648</v>
      </c>
      <c r="H100" s="1" t="s">
        <v>648</v>
      </c>
      <c r="I100">
        <v>2164.1105432499899</v>
      </c>
      <c r="J100" s="1" t="s">
        <v>649</v>
      </c>
      <c r="K100">
        <v>2164.7082862500101</v>
      </c>
      <c r="L100">
        <v>1</v>
      </c>
      <c r="M100" s="1" t="s">
        <v>650</v>
      </c>
      <c r="N100">
        <v>186454</v>
      </c>
      <c r="O100" s="1" t="s">
        <v>28</v>
      </c>
      <c r="P100" t="s">
        <v>29</v>
      </c>
      <c r="Q100" t="s">
        <v>30</v>
      </c>
      <c r="R100" t="s">
        <v>31</v>
      </c>
      <c r="S100" t="s">
        <v>32</v>
      </c>
      <c r="T100" s="2">
        <v>45907</v>
      </c>
      <c r="U100" t="s">
        <v>33</v>
      </c>
      <c r="V100">
        <v>530</v>
      </c>
    </row>
    <row r="101" spans="1:22">
      <c r="A101">
        <v>99</v>
      </c>
      <c r="B101">
        <v>99</v>
      </c>
      <c r="C101">
        <v>99</v>
      </c>
      <c r="D101">
        <v>99</v>
      </c>
      <c r="E101">
        <v>99</v>
      </c>
      <c r="F101">
        <v>99</v>
      </c>
      <c r="G101">
        <v>99</v>
      </c>
      <c r="H101">
        <v>99</v>
      </c>
      <c r="I101">
        <v>99</v>
      </c>
      <c r="J101">
        <v>99</v>
      </c>
      <c r="K101">
        <v>99</v>
      </c>
      <c r="L101">
        <v>99</v>
      </c>
      <c r="M101" s="1" t="s">
        <v>651</v>
      </c>
      <c r="N101">
        <v>186454</v>
      </c>
      <c r="O101" s="1" t="s">
        <v>28</v>
      </c>
      <c r="P101" t="s">
        <v>29</v>
      </c>
      <c r="Q101" t="s">
        <v>30</v>
      </c>
      <c r="R101" t="s">
        <v>31</v>
      </c>
      <c r="S101" t="s">
        <v>32</v>
      </c>
      <c r="T101" s="2">
        <v>45907</v>
      </c>
      <c r="U101" t="s">
        <v>33</v>
      </c>
      <c r="V101">
        <v>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8D3D-48DE-E64B-A99C-E922B8C23FEE}">
  <dimension ref="A1:J101"/>
  <sheetViews>
    <sheetView workbookViewId="0">
      <selection activeCell="J2" sqref="J2"/>
    </sheetView>
  </sheetViews>
  <sheetFormatPr baseColWidth="10" defaultRowHeight="16"/>
  <sheetData>
    <row r="1" spans="1:10" ht="17">
      <c r="A1" t="s">
        <v>0</v>
      </c>
      <c r="B1" t="s">
        <v>2</v>
      </c>
      <c r="C1" t="s">
        <v>11</v>
      </c>
      <c r="D1" t="s">
        <v>12</v>
      </c>
      <c r="G1" s="5" t="str">
        <f>IF(AND(I4&lt;&gt;0, I4&lt;&gt;I3), "Reversal", "")</f>
        <v/>
      </c>
      <c r="H1">
        <f>B3-B2</f>
        <v>2</v>
      </c>
      <c r="J1">
        <f>SUM(B97:B101)</f>
        <v>158</v>
      </c>
    </row>
    <row r="2" spans="1:10" ht="17">
      <c r="A2">
        <v>0</v>
      </c>
      <c r="B2">
        <v>10</v>
      </c>
      <c r="C2">
        <v>0</v>
      </c>
      <c r="D2" s="3">
        <v>23.753752958000401</v>
      </c>
      <c r="G2" s="5" t="str">
        <f t="shared" ref="G2:G65" si="0">IF(AND(I5&lt;&gt;0, I5&lt;&gt;I4), "Reversal", "")</f>
        <v>Reversal</v>
      </c>
      <c r="H2">
        <f t="shared" ref="H2:H65" si="1">B4-B3</f>
        <v>-1</v>
      </c>
      <c r="I2" s="5">
        <f>IF(H3&gt;0, 1, IF(H3&lt;0, -1, 0))</f>
        <v>1</v>
      </c>
    </row>
    <row r="3" spans="1:10" ht="17">
      <c r="A3">
        <v>1</v>
      </c>
      <c r="B3">
        <v>12</v>
      </c>
      <c r="C3">
        <v>1</v>
      </c>
      <c r="D3" s="3">
        <v>1.32970687499619</v>
      </c>
      <c r="G3" s="5" t="str">
        <f t="shared" si="0"/>
        <v>Reversal</v>
      </c>
      <c r="H3">
        <f t="shared" si="1"/>
        <v>1</v>
      </c>
      <c r="I3" s="5">
        <f t="shared" ref="I3:I66" si="2">IF(H4&gt;0, 1, IF(H4&lt;0, -1, 0))</f>
        <v>0</v>
      </c>
    </row>
    <row r="4" spans="1:10" ht="17">
      <c r="A4">
        <v>2</v>
      </c>
      <c r="B4">
        <v>11</v>
      </c>
      <c r="C4">
        <v>0</v>
      </c>
      <c r="D4" s="3">
        <v>5.0334244160039798</v>
      </c>
      <c r="F4">
        <f>AVERAGE(D2:D101)</f>
        <v>20531.074734264985</v>
      </c>
      <c r="G4" s="5" t="str">
        <f t="shared" si="0"/>
        <v/>
      </c>
      <c r="H4">
        <f t="shared" si="1"/>
        <v>0</v>
      </c>
      <c r="I4" s="5">
        <f t="shared" si="2"/>
        <v>0</v>
      </c>
    </row>
    <row r="5" spans="1:10" ht="17">
      <c r="A5">
        <v>3</v>
      </c>
      <c r="B5">
        <v>12</v>
      </c>
      <c r="C5">
        <v>1</v>
      </c>
      <c r="D5" s="3">
        <v>0.60411375001422096</v>
      </c>
      <c r="G5" s="5" t="str">
        <f t="shared" si="0"/>
        <v/>
      </c>
      <c r="H5">
        <f t="shared" si="1"/>
        <v>0</v>
      </c>
      <c r="I5" s="5">
        <f t="shared" si="2"/>
        <v>-1</v>
      </c>
    </row>
    <row r="6" spans="1:10" ht="17">
      <c r="A6">
        <v>4</v>
      </c>
      <c r="B6">
        <v>12</v>
      </c>
      <c r="C6">
        <v>1</v>
      </c>
      <c r="D6" s="3">
        <v>0.38328104201355001</v>
      </c>
      <c r="G6" s="5" t="str">
        <f t="shared" si="0"/>
        <v/>
      </c>
      <c r="H6">
        <f t="shared" si="1"/>
        <v>-0.5</v>
      </c>
      <c r="I6" s="5">
        <f t="shared" si="2"/>
        <v>1</v>
      </c>
    </row>
    <row r="7" spans="1:10" ht="17">
      <c r="A7">
        <v>5</v>
      </c>
      <c r="B7">
        <v>12</v>
      </c>
      <c r="C7" s="1">
        <v>0</v>
      </c>
      <c r="D7">
        <v>186454</v>
      </c>
      <c r="F7">
        <f>STDEV(D2:D101)</f>
        <v>58626.200792683558</v>
      </c>
      <c r="G7" s="5" t="str">
        <f t="shared" si="0"/>
        <v>Reversal</v>
      </c>
      <c r="H7">
        <f t="shared" si="1"/>
        <v>0.5</v>
      </c>
      <c r="I7" s="5">
        <f t="shared" si="2"/>
        <v>1</v>
      </c>
    </row>
    <row r="8" spans="1:10" ht="17">
      <c r="A8">
        <v>6</v>
      </c>
      <c r="B8">
        <v>11.5</v>
      </c>
      <c r="C8" s="1">
        <v>0</v>
      </c>
      <c r="D8">
        <v>186454</v>
      </c>
      <c r="G8" s="5" t="str">
        <f t="shared" si="0"/>
        <v>Reversal</v>
      </c>
      <c r="H8">
        <f t="shared" si="1"/>
        <v>0.5</v>
      </c>
      <c r="I8" s="5">
        <f t="shared" si="2"/>
        <v>0</v>
      </c>
    </row>
    <row r="9" spans="1:10" ht="17">
      <c r="A9">
        <v>7</v>
      </c>
      <c r="B9">
        <v>12</v>
      </c>
      <c r="C9">
        <v>0</v>
      </c>
      <c r="D9" s="3">
        <v>0.27520475001074302</v>
      </c>
      <c r="G9" s="5" t="str">
        <f t="shared" si="0"/>
        <v/>
      </c>
      <c r="H9">
        <f t="shared" si="1"/>
        <v>0</v>
      </c>
      <c r="I9" s="5">
        <f t="shared" si="2"/>
        <v>0</v>
      </c>
    </row>
    <row r="10" spans="1:10" ht="17">
      <c r="A10">
        <v>8</v>
      </c>
      <c r="B10">
        <v>12.5</v>
      </c>
      <c r="C10">
        <v>1</v>
      </c>
      <c r="D10" s="3">
        <v>1520.4549528749999</v>
      </c>
      <c r="G10" s="5" t="str">
        <f t="shared" si="0"/>
        <v>Reversal</v>
      </c>
      <c r="H10">
        <f t="shared" si="1"/>
        <v>0</v>
      </c>
      <c r="I10" s="5">
        <f t="shared" si="2"/>
        <v>-1</v>
      </c>
    </row>
    <row r="11" spans="1:10" ht="17">
      <c r="A11">
        <v>9</v>
      </c>
      <c r="B11">
        <v>12.5</v>
      </c>
      <c r="C11">
        <v>1</v>
      </c>
      <c r="D11" s="3">
        <v>0.55678849999094304</v>
      </c>
      <c r="G11" s="5" t="str">
        <f t="shared" si="0"/>
        <v/>
      </c>
      <c r="H11">
        <f t="shared" si="1"/>
        <v>-0.5</v>
      </c>
      <c r="I11" s="5">
        <f t="shared" si="2"/>
        <v>1</v>
      </c>
    </row>
    <row r="12" spans="1:10" ht="17">
      <c r="A12">
        <v>10</v>
      </c>
      <c r="B12">
        <v>12.5</v>
      </c>
      <c r="C12">
        <v>1</v>
      </c>
      <c r="D12" s="3">
        <v>0.35345133300870601</v>
      </c>
      <c r="G12" s="5" t="str">
        <f t="shared" si="0"/>
        <v/>
      </c>
      <c r="H12">
        <f t="shared" si="1"/>
        <v>0.5</v>
      </c>
      <c r="I12" s="5">
        <f t="shared" si="2"/>
        <v>0</v>
      </c>
    </row>
    <row r="13" spans="1:10" ht="17">
      <c r="A13">
        <v>11</v>
      </c>
      <c r="B13">
        <v>12</v>
      </c>
      <c r="C13">
        <v>0</v>
      </c>
      <c r="D13" s="3">
        <v>0.35441850000643099</v>
      </c>
      <c r="G13" s="5" t="str">
        <f t="shared" si="0"/>
        <v>Reversal</v>
      </c>
      <c r="H13">
        <f t="shared" si="1"/>
        <v>0</v>
      </c>
      <c r="I13" s="5">
        <f t="shared" si="2"/>
        <v>1</v>
      </c>
    </row>
    <row r="14" spans="1:10" ht="17">
      <c r="A14">
        <v>12</v>
      </c>
      <c r="B14">
        <v>12.5</v>
      </c>
      <c r="C14" s="1">
        <v>0</v>
      </c>
      <c r="D14">
        <v>186454</v>
      </c>
      <c r="G14" s="5" t="str">
        <f t="shared" si="0"/>
        <v/>
      </c>
      <c r="H14">
        <f t="shared" si="1"/>
        <v>0.5</v>
      </c>
      <c r="I14" s="5">
        <f t="shared" si="2"/>
        <v>0</v>
      </c>
    </row>
    <row r="15" spans="1:10" ht="17">
      <c r="A15">
        <v>13</v>
      </c>
      <c r="B15">
        <v>12.5</v>
      </c>
      <c r="C15">
        <v>0</v>
      </c>
      <c r="D15">
        <v>186454</v>
      </c>
      <c r="G15" s="5" t="str">
        <f t="shared" si="0"/>
        <v>Reversal</v>
      </c>
      <c r="H15">
        <f t="shared" si="1"/>
        <v>0</v>
      </c>
      <c r="I15" s="5">
        <f t="shared" si="2"/>
        <v>0</v>
      </c>
    </row>
    <row r="16" spans="1:10" ht="17">
      <c r="A16">
        <v>14</v>
      </c>
      <c r="B16">
        <v>13</v>
      </c>
      <c r="C16">
        <v>1</v>
      </c>
      <c r="D16" s="3">
        <v>0.70137058402178798</v>
      </c>
      <c r="G16" s="5" t="str">
        <f t="shared" si="0"/>
        <v/>
      </c>
      <c r="H16">
        <f t="shared" si="1"/>
        <v>0</v>
      </c>
      <c r="I16" s="5">
        <f t="shared" si="2"/>
        <v>-1</v>
      </c>
    </row>
    <row r="17" spans="1:9" ht="17">
      <c r="A17">
        <v>15</v>
      </c>
      <c r="B17">
        <v>13</v>
      </c>
      <c r="C17">
        <v>1</v>
      </c>
      <c r="D17" s="3">
        <v>0.46295762501540499</v>
      </c>
      <c r="G17" s="5" t="str">
        <f t="shared" si="0"/>
        <v/>
      </c>
      <c r="H17">
        <f t="shared" si="1"/>
        <v>-0.5</v>
      </c>
      <c r="I17" s="5">
        <f t="shared" si="2"/>
        <v>0</v>
      </c>
    </row>
    <row r="18" spans="1:9" ht="17">
      <c r="A18">
        <v>16</v>
      </c>
      <c r="B18">
        <v>13</v>
      </c>
      <c r="C18" s="1">
        <v>0</v>
      </c>
      <c r="D18">
        <v>186454</v>
      </c>
      <c r="G18" s="5" t="str">
        <f t="shared" si="0"/>
        <v>Reversal</v>
      </c>
      <c r="H18">
        <f t="shared" si="1"/>
        <v>0</v>
      </c>
      <c r="I18" s="5">
        <f t="shared" si="2"/>
        <v>1</v>
      </c>
    </row>
    <row r="19" spans="1:9" ht="17">
      <c r="A19">
        <v>17</v>
      </c>
      <c r="B19">
        <v>12.5</v>
      </c>
      <c r="C19">
        <v>1</v>
      </c>
      <c r="D19" s="3">
        <v>0.301374000002397</v>
      </c>
      <c r="G19" s="5" t="str">
        <f t="shared" si="0"/>
        <v/>
      </c>
      <c r="H19">
        <f t="shared" si="1"/>
        <v>0.5</v>
      </c>
      <c r="I19" s="5">
        <f t="shared" si="2"/>
        <v>0</v>
      </c>
    </row>
    <row r="20" spans="1:9" ht="17">
      <c r="A20">
        <v>18</v>
      </c>
      <c r="B20">
        <v>12.5</v>
      </c>
      <c r="C20">
        <v>0</v>
      </c>
      <c r="D20">
        <v>186454</v>
      </c>
      <c r="G20" s="5" t="str">
        <f t="shared" si="0"/>
        <v/>
      </c>
      <c r="H20">
        <f t="shared" si="1"/>
        <v>0</v>
      </c>
      <c r="I20" s="5">
        <f t="shared" si="2"/>
        <v>0</v>
      </c>
    </row>
    <row r="21" spans="1:9" ht="17">
      <c r="A21">
        <v>19</v>
      </c>
      <c r="B21">
        <v>13</v>
      </c>
      <c r="C21" s="1">
        <v>0</v>
      </c>
      <c r="D21">
        <v>186454</v>
      </c>
      <c r="G21" s="5" t="str">
        <f t="shared" si="0"/>
        <v>Reversal</v>
      </c>
      <c r="H21">
        <f t="shared" si="1"/>
        <v>0</v>
      </c>
      <c r="I21" s="5">
        <f t="shared" si="2"/>
        <v>-1</v>
      </c>
    </row>
    <row r="22" spans="1:9" ht="17">
      <c r="A22">
        <v>20</v>
      </c>
      <c r="B22">
        <v>13</v>
      </c>
      <c r="C22" s="1">
        <v>0</v>
      </c>
      <c r="D22">
        <v>186454</v>
      </c>
      <c r="G22" s="5" t="str">
        <f t="shared" si="0"/>
        <v/>
      </c>
      <c r="H22">
        <f t="shared" si="1"/>
        <v>-0.5</v>
      </c>
      <c r="I22" s="5">
        <f t="shared" si="2"/>
        <v>0</v>
      </c>
    </row>
    <row r="23" spans="1:9" ht="17">
      <c r="A23">
        <v>21</v>
      </c>
      <c r="B23">
        <v>13</v>
      </c>
      <c r="C23">
        <v>0</v>
      </c>
      <c r="D23">
        <v>186454</v>
      </c>
      <c r="G23" s="5" t="str">
        <f t="shared" si="0"/>
        <v/>
      </c>
      <c r="H23">
        <f t="shared" si="1"/>
        <v>0</v>
      </c>
      <c r="I23" s="5">
        <f t="shared" si="2"/>
        <v>0</v>
      </c>
    </row>
    <row r="24" spans="1:9" ht="17">
      <c r="A24">
        <v>22</v>
      </c>
      <c r="B24">
        <v>12.5</v>
      </c>
      <c r="C24">
        <v>0</v>
      </c>
      <c r="D24">
        <v>186454</v>
      </c>
      <c r="G24" s="5" t="str">
        <f t="shared" si="0"/>
        <v>Reversal</v>
      </c>
      <c r="H24">
        <f t="shared" si="1"/>
        <v>0</v>
      </c>
      <c r="I24" s="5">
        <f t="shared" si="2"/>
        <v>-1</v>
      </c>
    </row>
    <row r="25" spans="1:9" ht="17">
      <c r="A25">
        <v>23</v>
      </c>
      <c r="B25">
        <v>12.5</v>
      </c>
      <c r="C25">
        <v>1</v>
      </c>
      <c r="D25" s="3">
        <v>0.63438241701805897</v>
      </c>
      <c r="G25" s="5" t="str">
        <f t="shared" si="0"/>
        <v/>
      </c>
      <c r="H25">
        <f t="shared" si="1"/>
        <v>-0.5</v>
      </c>
      <c r="I25" s="5">
        <f t="shared" si="2"/>
        <v>0</v>
      </c>
    </row>
    <row r="26" spans="1:9" ht="17">
      <c r="A26">
        <v>24</v>
      </c>
      <c r="B26">
        <v>12.5</v>
      </c>
      <c r="C26">
        <v>1</v>
      </c>
      <c r="D26" s="3">
        <v>0.57298374999663704</v>
      </c>
      <c r="G26" s="5" t="str">
        <f t="shared" si="0"/>
        <v>Reversal</v>
      </c>
      <c r="H26">
        <f t="shared" si="1"/>
        <v>0</v>
      </c>
      <c r="I26" s="5">
        <f t="shared" si="2"/>
        <v>0</v>
      </c>
    </row>
    <row r="27" spans="1:9" ht="17">
      <c r="A27">
        <v>25</v>
      </c>
      <c r="B27">
        <v>12</v>
      </c>
      <c r="C27">
        <v>1</v>
      </c>
      <c r="D27" s="3">
        <v>0.40661025000736101</v>
      </c>
      <c r="G27" s="5" t="str">
        <f t="shared" si="0"/>
        <v/>
      </c>
      <c r="H27">
        <f t="shared" si="1"/>
        <v>0</v>
      </c>
      <c r="I27" s="5">
        <f t="shared" si="2"/>
        <v>-1</v>
      </c>
    </row>
    <row r="28" spans="1:9" ht="17">
      <c r="A28">
        <v>26</v>
      </c>
      <c r="B28">
        <v>12</v>
      </c>
      <c r="C28">
        <v>1</v>
      </c>
      <c r="D28" s="3">
        <v>0.29205441600061</v>
      </c>
      <c r="G28" s="5" t="str">
        <f t="shared" si="0"/>
        <v/>
      </c>
      <c r="H28">
        <f t="shared" si="1"/>
        <v>-0.5</v>
      </c>
      <c r="I28" s="5">
        <f t="shared" si="2"/>
        <v>0</v>
      </c>
    </row>
    <row r="29" spans="1:9" ht="17">
      <c r="A29">
        <v>27</v>
      </c>
      <c r="B29">
        <v>12</v>
      </c>
      <c r="C29">
        <v>1</v>
      </c>
      <c r="D29" s="3">
        <v>0.45510370898409702</v>
      </c>
      <c r="G29" s="5" t="str">
        <f t="shared" si="0"/>
        <v/>
      </c>
      <c r="H29">
        <f t="shared" si="1"/>
        <v>0</v>
      </c>
      <c r="I29" s="5">
        <f t="shared" si="2"/>
        <v>1</v>
      </c>
    </row>
    <row r="30" spans="1:9" ht="17">
      <c r="A30">
        <v>28</v>
      </c>
      <c r="B30">
        <v>11.5</v>
      </c>
      <c r="C30" s="1">
        <v>0</v>
      </c>
      <c r="D30">
        <v>186454</v>
      </c>
      <c r="G30" s="5" t="str">
        <f t="shared" si="0"/>
        <v>Reversal</v>
      </c>
      <c r="H30">
        <f t="shared" si="1"/>
        <v>0.5</v>
      </c>
      <c r="I30" s="5">
        <f t="shared" si="2"/>
        <v>1</v>
      </c>
    </row>
    <row r="31" spans="1:9" ht="17">
      <c r="A31">
        <v>29</v>
      </c>
      <c r="B31">
        <v>11.5</v>
      </c>
      <c r="C31">
        <v>0</v>
      </c>
      <c r="D31" s="3">
        <v>0.30862683299346799</v>
      </c>
      <c r="G31" s="5" t="str">
        <f t="shared" si="0"/>
        <v/>
      </c>
      <c r="H31">
        <f t="shared" si="1"/>
        <v>0.5</v>
      </c>
      <c r="I31" s="5">
        <f t="shared" si="2"/>
        <v>0</v>
      </c>
    </row>
    <row r="32" spans="1:9" ht="17">
      <c r="A32">
        <v>30</v>
      </c>
      <c r="B32">
        <v>12</v>
      </c>
      <c r="C32">
        <v>0</v>
      </c>
      <c r="D32" s="3">
        <v>515.57263754200505</v>
      </c>
      <c r="G32" s="5" t="str">
        <f t="shared" si="0"/>
        <v/>
      </c>
      <c r="H32">
        <f t="shared" si="1"/>
        <v>0</v>
      </c>
      <c r="I32" s="5">
        <f t="shared" si="2"/>
        <v>0</v>
      </c>
    </row>
    <row r="33" spans="1:9" ht="17">
      <c r="A33">
        <v>31</v>
      </c>
      <c r="B33">
        <v>12.5</v>
      </c>
      <c r="C33">
        <v>1</v>
      </c>
      <c r="D33" s="3">
        <v>0.54677250000531696</v>
      </c>
      <c r="G33" s="5" t="str">
        <f t="shared" si="0"/>
        <v>Reversal</v>
      </c>
      <c r="H33">
        <f t="shared" si="1"/>
        <v>0</v>
      </c>
      <c r="I33" s="5">
        <f t="shared" si="2"/>
        <v>-1</v>
      </c>
    </row>
    <row r="34" spans="1:9" ht="17">
      <c r="A34">
        <v>32</v>
      </c>
      <c r="B34">
        <v>12.5</v>
      </c>
      <c r="C34">
        <v>1</v>
      </c>
      <c r="D34">
        <v>0.57375529201817699</v>
      </c>
      <c r="G34" s="5" t="str">
        <f t="shared" si="0"/>
        <v/>
      </c>
      <c r="H34">
        <f t="shared" si="1"/>
        <v>-0.5</v>
      </c>
      <c r="I34" s="5">
        <f t="shared" si="2"/>
        <v>0</v>
      </c>
    </row>
    <row r="35" spans="1:9" ht="17">
      <c r="A35">
        <v>33</v>
      </c>
      <c r="B35">
        <v>12.5</v>
      </c>
      <c r="C35">
        <v>1</v>
      </c>
      <c r="D35" s="3">
        <v>0.59778987499885206</v>
      </c>
      <c r="G35" s="5" t="str">
        <f t="shared" si="0"/>
        <v/>
      </c>
      <c r="H35">
        <f t="shared" si="1"/>
        <v>0</v>
      </c>
      <c r="I35" s="5">
        <f t="shared" si="2"/>
        <v>0</v>
      </c>
    </row>
    <row r="36" spans="1:9" ht="17">
      <c r="A36">
        <v>34</v>
      </c>
      <c r="B36">
        <v>12</v>
      </c>
      <c r="C36">
        <v>1</v>
      </c>
      <c r="D36" s="3">
        <v>0.56808070800616395</v>
      </c>
      <c r="G36" s="5" t="str">
        <f t="shared" si="0"/>
        <v>Reversal</v>
      </c>
      <c r="H36">
        <f t="shared" si="1"/>
        <v>0</v>
      </c>
      <c r="I36" s="5">
        <f t="shared" si="2"/>
        <v>1</v>
      </c>
    </row>
    <row r="37" spans="1:9" ht="17">
      <c r="A37">
        <v>35</v>
      </c>
      <c r="B37">
        <v>12</v>
      </c>
      <c r="C37">
        <v>1</v>
      </c>
      <c r="D37" s="3">
        <v>0.56144529100856699</v>
      </c>
      <c r="G37" s="5" t="str">
        <f t="shared" si="0"/>
        <v/>
      </c>
      <c r="H37">
        <f t="shared" si="1"/>
        <v>0.5</v>
      </c>
      <c r="I37" s="5">
        <f t="shared" si="2"/>
        <v>0</v>
      </c>
    </row>
    <row r="38" spans="1:9" ht="17">
      <c r="A38">
        <v>36</v>
      </c>
      <c r="B38">
        <v>12</v>
      </c>
      <c r="C38">
        <v>0</v>
      </c>
      <c r="D38" s="3">
        <v>0.53103645899682295</v>
      </c>
      <c r="G38" s="5" t="str">
        <f t="shared" si="0"/>
        <v/>
      </c>
      <c r="H38">
        <f t="shared" si="1"/>
        <v>0</v>
      </c>
      <c r="I38" s="5">
        <f t="shared" si="2"/>
        <v>0</v>
      </c>
    </row>
    <row r="39" spans="1:9" ht="17">
      <c r="A39">
        <v>37</v>
      </c>
      <c r="B39">
        <v>12.5</v>
      </c>
      <c r="C39">
        <v>1</v>
      </c>
      <c r="D39" s="3">
        <v>0.71414029199513596</v>
      </c>
      <c r="G39" s="5" t="str">
        <f t="shared" si="0"/>
        <v>Reversal</v>
      </c>
      <c r="H39">
        <f t="shared" si="1"/>
        <v>0</v>
      </c>
      <c r="I39" s="5">
        <f t="shared" si="2"/>
        <v>-1</v>
      </c>
    </row>
    <row r="40" spans="1:9" ht="17">
      <c r="A40">
        <v>38</v>
      </c>
      <c r="B40">
        <v>12.5</v>
      </c>
      <c r="C40">
        <v>1</v>
      </c>
      <c r="D40" s="3">
        <v>0.484862333018099</v>
      </c>
      <c r="G40" s="5" t="str">
        <f t="shared" si="0"/>
        <v/>
      </c>
      <c r="H40">
        <f t="shared" si="1"/>
        <v>-0.5</v>
      </c>
      <c r="I40" s="5">
        <f t="shared" si="2"/>
        <v>0</v>
      </c>
    </row>
    <row r="41" spans="1:9" ht="17">
      <c r="A41">
        <v>39</v>
      </c>
      <c r="B41">
        <v>12.5</v>
      </c>
      <c r="C41">
        <v>1</v>
      </c>
      <c r="D41" s="3">
        <v>0.48642787500284601</v>
      </c>
      <c r="G41" s="5" t="str">
        <f t="shared" si="0"/>
        <v>Reversal</v>
      </c>
      <c r="H41">
        <f t="shared" si="1"/>
        <v>0</v>
      </c>
      <c r="I41" s="5">
        <f t="shared" si="2"/>
        <v>0</v>
      </c>
    </row>
    <row r="42" spans="1:9" ht="17">
      <c r="A42">
        <v>40</v>
      </c>
      <c r="B42">
        <v>12</v>
      </c>
      <c r="C42">
        <v>1</v>
      </c>
      <c r="D42">
        <v>0.62420541601022705</v>
      </c>
      <c r="G42" s="5" t="str">
        <f t="shared" si="0"/>
        <v/>
      </c>
      <c r="H42">
        <f t="shared" si="1"/>
        <v>0</v>
      </c>
      <c r="I42" s="5">
        <f t="shared" si="2"/>
        <v>-1</v>
      </c>
    </row>
    <row r="43" spans="1:9" ht="17">
      <c r="A43">
        <v>41</v>
      </c>
      <c r="B43">
        <v>12</v>
      </c>
      <c r="C43">
        <v>1</v>
      </c>
      <c r="D43" s="3">
        <v>0.50853070800076206</v>
      </c>
      <c r="G43" s="5" t="str">
        <f t="shared" si="0"/>
        <v>Reversal</v>
      </c>
      <c r="H43">
        <f t="shared" si="1"/>
        <v>-0.5</v>
      </c>
      <c r="I43" s="5">
        <f t="shared" si="2"/>
        <v>0</v>
      </c>
    </row>
    <row r="44" spans="1:9" ht="17">
      <c r="A44">
        <v>42</v>
      </c>
      <c r="B44">
        <v>12</v>
      </c>
      <c r="C44">
        <v>1</v>
      </c>
      <c r="D44" s="3">
        <v>0.41993712499970498</v>
      </c>
      <c r="G44" s="5" t="str">
        <f t="shared" si="0"/>
        <v/>
      </c>
      <c r="H44">
        <f t="shared" si="1"/>
        <v>0</v>
      </c>
      <c r="I44" s="5">
        <f t="shared" si="2"/>
        <v>1</v>
      </c>
    </row>
    <row r="45" spans="1:9" ht="17">
      <c r="A45">
        <v>43</v>
      </c>
      <c r="B45">
        <v>11.5</v>
      </c>
      <c r="C45">
        <v>1</v>
      </c>
      <c r="D45" s="3">
        <v>0.54188329199678198</v>
      </c>
      <c r="G45" s="5" t="str">
        <f t="shared" si="0"/>
        <v/>
      </c>
      <c r="H45">
        <f t="shared" si="1"/>
        <v>0.5</v>
      </c>
      <c r="I45" s="5">
        <f t="shared" si="2"/>
        <v>0</v>
      </c>
    </row>
    <row r="46" spans="1:9" ht="17">
      <c r="A46">
        <v>44</v>
      </c>
      <c r="B46">
        <v>11.5</v>
      </c>
      <c r="C46">
        <v>0</v>
      </c>
      <c r="D46" s="3">
        <v>0.55938670798786905</v>
      </c>
      <c r="G46" s="5" t="str">
        <f t="shared" si="0"/>
        <v/>
      </c>
      <c r="H46">
        <f t="shared" si="1"/>
        <v>0</v>
      </c>
      <c r="I46" s="5">
        <f t="shared" si="2"/>
        <v>1</v>
      </c>
    </row>
    <row r="47" spans="1:9" ht="17">
      <c r="A47">
        <v>45</v>
      </c>
      <c r="B47">
        <v>12</v>
      </c>
      <c r="C47">
        <v>1</v>
      </c>
      <c r="D47" s="3">
        <v>0.49732162500731603</v>
      </c>
      <c r="G47" s="5" t="str">
        <f t="shared" si="0"/>
        <v>Reversal</v>
      </c>
      <c r="H47">
        <f t="shared" si="1"/>
        <v>0.5</v>
      </c>
      <c r="I47" s="5">
        <f t="shared" si="2"/>
        <v>1</v>
      </c>
    </row>
    <row r="48" spans="1:9" ht="17">
      <c r="A48">
        <v>46</v>
      </c>
      <c r="B48">
        <v>12</v>
      </c>
      <c r="C48">
        <v>0</v>
      </c>
      <c r="D48" s="3">
        <v>0.54196195802069203</v>
      </c>
      <c r="G48" s="5" t="str">
        <f t="shared" si="0"/>
        <v/>
      </c>
      <c r="H48">
        <f t="shared" si="1"/>
        <v>0.5</v>
      </c>
      <c r="I48" s="5">
        <f t="shared" si="2"/>
        <v>0</v>
      </c>
    </row>
    <row r="49" spans="1:9" ht="17">
      <c r="A49">
        <v>47</v>
      </c>
      <c r="B49">
        <v>12.5</v>
      </c>
      <c r="C49">
        <v>0</v>
      </c>
      <c r="D49" s="3">
        <v>0.48819537498638899</v>
      </c>
      <c r="G49" s="5" t="str">
        <f t="shared" si="0"/>
        <v/>
      </c>
      <c r="H49">
        <f t="shared" si="1"/>
        <v>0</v>
      </c>
      <c r="I49" s="5">
        <f t="shared" si="2"/>
        <v>0</v>
      </c>
    </row>
    <row r="50" spans="1:9" ht="17">
      <c r="A50">
        <v>48</v>
      </c>
      <c r="B50">
        <v>13</v>
      </c>
      <c r="C50">
        <v>1</v>
      </c>
      <c r="D50">
        <v>0.70781591700506397</v>
      </c>
      <c r="G50" s="5" t="str">
        <f t="shared" si="0"/>
        <v>Reversal</v>
      </c>
      <c r="H50">
        <f t="shared" si="1"/>
        <v>0</v>
      </c>
      <c r="I50" s="5">
        <f t="shared" si="2"/>
        <v>1</v>
      </c>
    </row>
    <row r="51" spans="1:9" ht="17">
      <c r="A51">
        <v>49</v>
      </c>
      <c r="B51">
        <v>13</v>
      </c>
      <c r="C51">
        <v>1</v>
      </c>
      <c r="D51" s="3">
        <v>0.55656716699013398</v>
      </c>
      <c r="G51" s="5" t="str">
        <f t="shared" si="0"/>
        <v>Reversal</v>
      </c>
      <c r="H51">
        <f t="shared" si="1"/>
        <v>0.5</v>
      </c>
      <c r="I51" s="5">
        <f t="shared" si="2"/>
        <v>0</v>
      </c>
    </row>
    <row r="52" spans="1:9" ht="17">
      <c r="A52">
        <v>50</v>
      </c>
      <c r="B52">
        <v>13</v>
      </c>
      <c r="C52">
        <v>0</v>
      </c>
      <c r="D52">
        <v>0.50443045800784603</v>
      </c>
      <c r="G52" s="5" t="str">
        <f t="shared" si="0"/>
        <v/>
      </c>
      <c r="H52">
        <f t="shared" si="1"/>
        <v>0</v>
      </c>
      <c r="I52" s="5">
        <f t="shared" si="2"/>
        <v>0</v>
      </c>
    </row>
    <row r="53" spans="1:9" ht="17">
      <c r="A53">
        <v>51</v>
      </c>
      <c r="B53">
        <v>13.5</v>
      </c>
      <c r="C53">
        <v>1</v>
      </c>
      <c r="D53" s="3">
        <v>0.65342258298187506</v>
      </c>
      <c r="G53" s="5" t="str">
        <f t="shared" si="0"/>
        <v/>
      </c>
      <c r="H53">
        <f t="shared" si="1"/>
        <v>0</v>
      </c>
      <c r="I53" s="5">
        <f t="shared" si="2"/>
        <v>-1</v>
      </c>
    </row>
    <row r="54" spans="1:9" ht="17">
      <c r="A54">
        <v>52</v>
      </c>
      <c r="B54">
        <v>13.5</v>
      </c>
      <c r="C54">
        <v>1</v>
      </c>
      <c r="D54" s="3">
        <v>0.63269545900402502</v>
      </c>
      <c r="G54" s="5" t="str">
        <f t="shared" si="0"/>
        <v/>
      </c>
      <c r="H54">
        <f t="shared" si="1"/>
        <v>-0.5</v>
      </c>
      <c r="I54" s="5">
        <f t="shared" si="2"/>
        <v>1</v>
      </c>
    </row>
    <row r="55" spans="1:9" ht="17">
      <c r="A55">
        <v>53</v>
      </c>
      <c r="B55">
        <v>13.5</v>
      </c>
      <c r="C55">
        <v>1</v>
      </c>
      <c r="D55" s="3">
        <v>0.64559175001340896</v>
      </c>
      <c r="G55" s="5" t="str">
        <f t="shared" si="0"/>
        <v>Reversal</v>
      </c>
      <c r="H55">
        <f t="shared" si="1"/>
        <v>0.5</v>
      </c>
      <c r="I55" s="5">
        <f t="shared" si="2"/>
        <v>1</v>
      </c>
    </row>
    <row r="56" spans="1:9" ht="17">
      <c r="A56">
        <v>54</v>
      </c>
      <c r="B56">
        <v>13</v>
      </c>
      <c r="C56">
        <v>0</v>
      </c>
      <c r="D56" s="3">
        <v>0.58027108298847396</v>
      </c>
      <c r="G56" s="5" t="str">
        <f t="shared" si="0"/>
        <v/>
      </c>
      <c r="H56">
        <f t="shared" si="1"/>
        <v>0.5</v>
      </c>
      <c r="I56" s="5">
        <f t="shared" si="2"/>
        <v>0</v>
      </c>
    </row>
    <row r="57" spans="1:9" ht="17">
      <c r="A57">
        <v>55</v>
      </c>
      <c r="B57">
        <v>13.5</v>
      </c>
      <c r="C57">
        <v>0</v>
      </c>
      <c r="D57" s="3">
        <v>0.60778070800006301</v>
      </c>
      <c r="G57" s="5" t="str">
        <f t="shared" si="0"/>
        <v/>
      </c>
      <c r="H57">
        <f t="shared" si="1"/>
        <v>0</v>
      </c>
      <c r="I57" s="5">
        <f t="shared" si="2"/>
        <v>0</v>
      </c>
    </row>
    <row r="58" spans="1:9" ht="17">
      <c r="A58">
        <v>56</v>
      </c>
      <c r="B58">
        <v>14</v>
      </c>
      <c r="C58">
        <v>1</v>
      </c>
      <c r="D58" s="3">
        <v>0.58343550001154598</v>
      </c>
      <c r="G58" s="5" t="str">
        <f t="shared" si="0"/>
        <v>Reversal</v>
      </c>
      <c r="H58">
        <f t="shared" si="1"/>
        <v>0</v>
      </c>
      <c r="I58" s="5">
        <f t="shared" si="2"/>
        <v>-1</v>
      </c>
    </row>
    <row r="59" spans="1:9" ht="17">
      <c r="A59">
        <v>57</v>
      </c>
      <c r="B59">
        <v>14</v>
      </c>
      <c r="C59">
        <v>1</v>
      </c>
      <c r="D59">
        <v>0.55796508298953995</v>
      </c>
      <c r="G59" s="5" t="str">
        <f t="shared" si="0"/>
        <v/>
      </c>
      <c r="H59">
        <f t="shared" si="1"/>
        <v>-0.5</v>
      </c>
      <c r="I59" s="5">
        <f t="shared" si="2"/>
        <v>0</v>
      </c>
    </row>
    <row r="60" spans="1:9" ht="17">
      <c r="A60">
        <v>58</v>
      </c>
      <c r="B60">
        <v>14</v>
      </c>
      <c r="C60">
        <v>1</v>
      </c>
      <c r="D60" s="3">
        <v>0.55449058298836396</v>
      </c>
      <c r="G60" s="5" t="str">
        <f t="shared" si="0"/>
        <v/>
      </c>
      <c r="H60">
        <f t="shared" si="1"/>
        <v>0</v>
      </c>
      <c r="I60" s="5">
        <f t="shared" si="2"/>
        <v>0</v>
      </c>
    </row>
    <row r="61" spans="1:9" ht="17">
      <c r="A61">
        <v>59</v>
      </c>
      <c r="B61">
        <v>13.5</v>
      </c>
      <c r="C61">
        <v>1</v>
      </c>
      <c r="D61" s="3">
        <v>0.59168270800728295</v>
      </c>
      <c r="G61" s="5" t="str">
        <f t="shared" si="0"/>
        <v/>
      </c>
      <c r="H61">
        <f t="shared" si="1"/>
        <v>0</v>
      </c>
      <c r="I61" s="5">
        <f t="shared" si="2"/>
        <v>1</v>
      </c>
    </row>
    <row r="62" spans="1:9" ht="17">
      <c r="A62">
        <v>60</v>
      </c>
      <c r="B62">
        <v>13.5</v>
      </c>
      <c r="C62">
        <v>1</v>
      </c>
      <c r="D62" s="3">
        <v>0.45890283398330201</v>
      </c>
      <c r="G62" s="5" t="str">
        <f t="shared" si="0"/>
        <v>Reversal</v>
      </c>
      <c r="H62">
        <f t="shared" si="1"/>
        <v>0.5</v>
      </c>
      <c r="I62" s="5">
        <f t="shared" si="2"/>
        <v>1</v>
      </c>
    </row>
    <row r="63" spans="1:9" ht="17">
      <c r="A63">
        <v>61</v>
      </c>
      <c r="B63">
        <v>13.5</v>
      </c>
      <c r="C63">
        <v>0</v>
      </c>
      <c r="D63" s="3">
        <v>0.55603862498537604</v>
      </c>
      <c r="G63" s="5" t="str">
        <f t="shared" si="0"/>
        <v/>
      </c>
      <c r="H63">
        <f t="shared" si="1"/>
        <v>0.5</v>
      </c>
      <c r="I63" s="5">
        <f t="shared" si="2"/>
        <v>0</v>
      </c>
    </row>
    <row r="64" spans="1:9" ht="17">
      <c r="A64">
        <v>62</v>
      </c>
      <c r="B64">
        <v>14</v>
      </c>
      <c r="C64">
        <v>0</v>
      </c>
      <c r="D64" s="3">
        <v>0.59451520899892696</v>
      </c>
      <c r="G64" s="5" t="str">
        <f t="shared" si="0"/>
        <v/>
      </c>
      <c r="H64">
        <f t="shared" si="1"/>
        <v>0</v>
      </c>
      <c r="I64" s="5">
        <f t="shared" si="2"/>
        <v>0</v>
      </c>
    </row>
    <row r="65" spans="1:9" ht="17">
      <c r="A65">
        <v>63</v>
      </c>
      <c r="B65">
        <v>14.5</v>
      </c>
      <c r="C65">
        <v>1</v>
      </c>
      <c r="D65" s="3">
        <v>0.68589237501146205</v>
      </c>
      <c r="G65" s="5" t="str">
        <f t="shared" si="0"/>
        <v>Reversal</v>
      </c>
      <c r="H65">
        <f t="shared" si="1"/>
        <v>0</v>
      </c>
      <c r="I65" s="5">
        <f t="shared" si="2"/>
        <v>-1</v>
      </c>
    </row>
    <row r="66" spans="1:9" ht="17">
      <c r="A66">
        <v>64</v>
      </c>
      <c r="B66">
        <v>14.5</v>
      </c>
      <c r="C66">
        <v>1</v>
      </c>
      <c r="D66" s="3">
        <v>0.68467133300145999</v>
      </c>
      <c r="G66" s="5" t="str">
        <f t="shared" ref="G66:G101" si="3">IF(AND(I69&lt;&gt;0, I69&lt;&gt;I68), "Reversal", "")</f>
        <v/>
      </c>
      <c r="H66">
        <f t="shared" ref="H66:H101" si="4">B68-B67</f>
        <v>-0.5</v>
      </c>
      <c r="I66" s="5">
        <f t="shared" si="2"/>
        <v>0</v>
      </c>
    </row>
    <row r="67" spans="1:9" ht="17">
      <c r="A67">
        <v>65</v>
      </c>
      <c r="B67">
        <v>14.5</v>
      </c>
      <c r="C67">
        <v>1</v>
      </c>
      <c r="D67" s="3">
        <v>0.590089957986492</v>
      </c>
      <c r="G67" s="5" t="str">
        <f t="shared" si="3"/>
        <v/>
      </c>
      <c r="H67">
        <f t="shared" si="4"/>
        <v>0</v>
      </c>
      <c r="I67" s="5">
        <f t="shared" ref="I67:I101" si="5">IF(H68&gt;0, 1, IF(H68&lt;0, -1, 0))</f>
        <v>0</v>
      </c>
    </row>
    <row r="68" spans="1:9" ht="17">
      <c r="A68">
        <v>66</v>
      </c>
      <c r="B68">
        <v>14</v>
      </c>
      <c r="C68">
        <v>1</v>
      </c>
      <c r="D68" s="3">
        <v>0.53502520799520403</v>
      </c>
      <c r="G68" s="5" t="str">
        <f t="shared" si="3"/>
        <v>Reversal</v>
      </c>
      <c r="H68">
        <f t="shared" si="4"/>
        <v>0</v>
      </c>
      <c r="I68" s="5">
        <f t="shared" si="5"/>
        <v>-1</v>
      </c>
    </row>
    <row r="69" spans="1:9" ht="17">
      <c r="A69">
        <v>67</v>
      </c>
      <c r="B69">
        <v>14</v>
      </c>
      <c r="C69">
        <v>1</v>
      </c>
      <c r="D69" s="3">
        <v>0.63046225000289202</v>
      </c>
      <c r="G69" s="5" t="str">
        <f t="shared" si="3"/>
        <v/>
      </c>
      <c r="H69">
        <f t="shared" si="4"/>
        <v>-0.5</v>
      </c>
      <c r="I69" s="5">
        <f t="shared" si="5"/>
        <v>0</v>
      </c>
    </row>
    <row r="70" spans="1:9" ht="17">
      <c r="A70">
        <v>68</v>
      </c>
      <c r="B70">
        <v>14</v>
      </c>
      <c r="C70">
        <v>1</v>
      </c>
      <c r="D70" s="3">
        <v>0.62418695798260104</v>
      </c>
      <c r="G70" s="5" t="str">
        <f t="shared" si="3"/>
        <v/>
      </c>
      <c r="H70">
        <f t="shared" si="4"/>
        <v>0</v>
      </c>
      <c r="I70" s="5">
        <f t="shared" si="5"/>
        <v>0</v>
      </c>
    </row>
    <row r="71" spans="1:9" ht="17">
      <c r="A71">
        <v>69</v>
      </c>
      <c r="B71">
        <v>13.5</v>
      </c>
      <c r="C71">
        <v>1</v>
      </c>
      <c r="D71" s="3">
        <v>0.60511750000296105</v>
      </c>
      <c r="G71" s="5" t="str">
        <f t="shared" si="3"/>
        <v>Reversal</v>
      </c>
      <c r="H71">
        <f t="shared" si="4"/>
        <v>0</v>
      </c>
      <c r="I71" s="5">
        <f t="shared" si="5"/>
        <v>-1</v>
      </c>
    </row>
    <row r="72" spans="1:9" ht="17">
      <c r="A72">
        <v>70</v>
      </c>
      <c r="B72">
        <v>13.5</v>
      </c>
      <c r="C72">
        <v>1</v>
      </c>
      <c r="D72" s="3">
        <v>0.64768370901583605</v>
      </c>
      <c r="G72" s="5" t="str">
        <f t="shared" si="3"/>
        <v>Reversal</v>
      </c>
      <c r="H72">
        <f t="shared" si="4"/>
        <v>-0.5</v>
      </c>
      <c r="I72" s="5">
        <f t="shared" si="5"/>
        <v>0</v>
      </c>
    </row>
    <row r="73" spans="1:9" ht="17">
      <c r="A73">
        <v>71</v>
      </c>
      <c r="B73">
        <v>13.5</v>
      </c>
      <c r="C73">
        <v>1</v>
      </c>
      <c r="D73">
        <v>0.70932837500004098</v>
      </c>
      <c r="G73" s="5" t="str">
        <f t="shared" si="3"/>
        <v/>
      </c>
      <c r="H73">
        <f t="shared" si="4"/>
        <v>0</v>
      </c>
      <c r="I73" s="5">
        <f t="shared" si="5"/>
        <v>0</v>
      </c>
    </row>
    <row r="74" spans="1:9" ht="17">
      <c r="A74">
        <v>72</v>
      </c>
      <c r="B74">
        <v>13</v>
      </c>
      <c r="C74">
        <v>1</v>
      </c>
      <c r="D74" s="3">
        <v>0.64266608399338998</v>
      </c>
      <c r="G74" s="5" t="str">
        <f t="shared" si="3"/>
        <v/>
      </c>
      <c r="H74">
        <f t="shared" si="4"/>
        <v>0</v>
      </c>
      <c r="I74" s="5">
        <f t="shared" si="5"/>
        <v>-1</v>
      </c>
    </row>
    <row r="75" spans="1:9" ht="17">
      <c r="A75">
        <v>73</v>
      </c>
      <c r="B75">
        <v>13</v>
      </c>
      <c r="C75">
        <v>1</v>
      </c>
      <c r="D75" s="3">
        <v>0.74589912500232403</v>
      </c>
      <c r="G75" s="5" t="str">
        <f t="shared" si="3"/>
        <v>Reversal</v>
      </c>
      <c r="H75">
        <f t="shared" si="4"/>
        <v>-0.5</v>
      </c>
      <c r="I75" s="5">
        <f t="shared" si="5"/>
        <v>1</v>
      </c>
    </row>
    <row r="76" spans="1:9" ht="17">
      <c r="A76">
        <v>74</v>
      </c>
      <c r="B76">
        <v>13</v>
      </c>
      <c r="C76">
        <v>1</v>
      </c>
      <c r="D76" s="3">
        <v>0.66188312499434598</v>
      </c>
      <c r="G76" s="5" t="str">
        <f t="shared" si="3"/>
        <v/>
      </c>
      <c r="H76">
        <f t="shared" si="4"/>
        <v>0.5</v>
      </c>
      <c r="I76" s="5">
        <f t="shared" si="5"/>
        <v>0</v>
      </c>
    </row>
    <row r="77" spans="1:9" ht="17">
      <c r="A77">
        <v>75</v>
      </c>
      <c r="B77">
        <v>12.5</v>
      </c>
      <c r="C77">
        <v>0</v>
      </c>
      <c r="D77" s="3">
        <v>0.52288158400915496</v>
      </c>
      <c r="G77" s="5" t="str">
        <f t="shared" si="3"/>
        <v>Reversal</v>
      </c>
      <c r="H77">
        <f t="shared" si="4"/>
        <v>0</v>
      </c>
      <c r="I77" s="5">
        <f t="shared" si="5"/>
        <v>0</v>
      </c>
    </row>
    <row r="78" spans="1:9" ht="17">
      <c r="A78">
        <v>76</v>
      </c>
      <c r="B78">
        <v>13</v>
      </c>
      <c r="C78">
        <v>1</v>
      </c>
      <c r="D78" s="3">
        <v>0.65061245800461598</v>
      </c>
      <c r="G78" s="5" t="str">
        <f t="shared" si="3"/>
        <v/>
      </c>
      <c r="H78">
        <f t="shared" si="4"/>
        <v>0</v>
      </c>
      <c r="I78" s="5">
        <f t="shared" si="5"/>
        <v>-1</v>
      </c>
    </row>
    <row r="79" spans="1:9" ht="17">
      <c r="A79">
        <v>77</v>
      </c>
      <c r="B79">
        <v>13</v>
      </c>
      <c r="C79">
        <v>1</v>
      </c>
      <c r="D79" s="3">
        <v>0.65766229201108195</v>
      </c>
      <c r="G79" s="5" t="str">
        <f t="shared" si="3"/>
        <v/>
      </c>
      <c r="H79">
        <f t="shared" si="4"/>
        <v>-0.5</v>
      </c>
      <c r="I79" s="5">
        <f t="shared" si="5"/>
        <v>0</v>
      </c>
    </row>
    <row r="80" spans="1:9" ht="17">
      <c r="A80">
        <v>78</v>
      </c>
      <c r="B80">
        <v>13</v>
      </c>
      <c r="C80">
        <v>1</v>
      </c>
      <c r="D80" s="3">
        <v>0.70589229199685999</v>
      </c>
      <c r="G80" s="5" t="str">
        <f t="shared" si="3"/>
        <v>Reversal</v>
      </c>
      <c r="H80">
        <f t="shared" si="4"/>
        <v>0</v>
      </c>
      <c r="I80" s="5">
        <f t="shared" si="5"/>
        <v>1</v>
      </c>
    </row>
    <row r="81" spans="1:9" ht="17">
      <c r="A81">
        <v>79</v>
      </c>
      <c r="B81">
        <v>12.5</v>
      </c>
      <c r="C81">
        <v>1</v>
      </c>
      <c r="D81" s="3">
        <v>0.53915100000449401</v>
      </c>
      <c r="G81" s="5" t="str">
        <f t="shared" si="3"/>
        <v>Reversal</v>
      </c>
      <c r="H81">
        <f t="shared" si="4"/>
        <v>0.5</v>
      </c>
      <c r="I81" s="5">
        <f t="shared" si="5"/>
        <v>0</v>
      </c>
    </row>
    <row r="82" spans="1:9" ht="17">
      <c r="A82">
        <v>80</v>
      </c>
      <c r="B82">
        <v>12.5</v>
      </c>
      <c r="C82">
        <v>0</v>
      </c>
      <c r="D82" s="3">
        <v>0.41544154100120001</v>
      </c>
      <c r="G82" s="5" t="str">
        <f t="shared" si="3"/>
        <v/>
      </c>
      <c r="H82">
        <f t="shared" si="4"/>
        <v>0</v>
      </c>
      <c r="I82" s="5">
        <f t="shared" si="5"/>
        <v>0</v>
      </c>
    </row>
    <row r="83" spans="1:9" ht="17">
      <c r="A83">
        <v>81</v>
      </c>
      <c r="B83">
        <v>13</v>
      </c>
      <c r="C83">
        <v>1</v>
      </c>
      <c r="D83" s="3">
        <v>0.53436412502196595</v>
      </c>
      <c r="G83" s="5" t="str">
        <f t="shared" si="3"/>
        <v/>
      </c>
      <c r="H83">
        <f t="shared" si="4"/>
        <v>0</v>
      </c>
      <c r="I83" s="5">
        <f t="shared" si="5"/>
        <v>-1</v>
      </c>
    </row>
    <row r="84" spans="1:9" ht="17">
      <c r="A84">
        <v>82</v>
      </c>
      <c r="B84">
        <v>13</v>
      </c>
      <c r="C84">
        <v>1</v>
      </c>
      <c r="D84" s="3">
        <v>0.68535162499756497</v>
      </c>
      <c r="G84" s="5" t="str">
        <f t="shared" si="3"/>
        <v>Reversal</v>
      </c>
      <c r="H84">
        <f t="shared" si="4"/>
        <v>-0.5</v>
      </c>
      <c r="I84" s="5">
        <f t="shared" si="5"/>
        <v>1</v>
      </c>
    </row>
    <row r="85" spans="1:9" ht="17">
      <c r="A85">
        <v>83</v>
      </c>
      <c r="B85">
        <v>13</v>
      </c>
      <c r="C85">
        <v>1</v>
      </c>
      <c r="D85" s="3">
        <v>0.60700733299017795</v>
      </c>
      <c r="G85" s="5" t="str">
        <f t="shared" si="3"/>
        <v/>
      </c>
      <c r="H85">
        <f t="shared" si="4"/>
        <v>0.5</v>
      </c>
      <c r="I85" s="5">
        <f t="shared" si="5"/>
        <v>0</v>
      </c>
    </row>
    <row r="86" spans="1:9" ht="17">
      <c r="A86">
        <v>84</v>
      </c>
      <c r="B86">
        <v>12.5</v>
      </c>
      <c r="C86">
        <v>0</v>
      </c>
      <c r="D86" s="3">
        <v>0.489177624986041</v>
      </c>
      <c r="G86" s="5" t="str">
        <f t="shared" si="3"/>
        <v>Reversal</v>
      </c>
      <c r="H86">
        <f t="shared" si="4"/>
        <v>0</v>
      </c>
      <c r="I86" s="5">
        <f t="shared" si="5"/>
        <v>0</v>
      </c>
    </row>
    <row r="87" spans="1:9" ht="17">
      <c r="A87">
        <v>85</v>
      </c>
      <c r="B87">
        <v>13</v>
      </c>
      <c r="C87">
        <v>1</v>
      </c>
      <c r="D87" s="3">
        <v>0.52665141702163898</v>
      </c>
      <c r="G87" s="5" t="str">
        <f t="shared" si="3"/>
        <v/>
      </c>
      <c r="H87">
        <f t="shared" si="4"/>
        <v>0</v>
      </c>
      <c r="I87" s="5">
        <f t="shared" si="5"/>
        <v>1</v>
      </c>
    </row>
    <row r="88" spans="1:9" ht="17">
      <c r="A88">
        <v>86</v>
      </c>
      <c r="B88">
        <v>13</v>
      </c>
      <c r="C88">
        <v>1</v>
      </c>
      <c r="D88" s="3">
        <v>0.58687795797595699</v>
      </c>
      <c r="G88" s="5" t="str">
        <f t="shared" si="3"/>
        <v/>
      </c>
      <c r="H88">
        <f t="shared" si="4"/>
        <v>0.5</v>
      </c>
      <c r="I88" s="5">
        <f t="shared" si="5"/>
        <v>0</v>
      </c>
    </row>
    <row r="89" spans="1:9" ht="17">
      <c r="A89">
        <v>87</v>
      </c>
      <c r="B89">
        <v>13</v>
      </c>
      <c r="C89">
        <v>0</v>
      </c>
      <c r="D89" s="3">
        <v>0.74177070899167996</v>
      </c>
      <c r="G89" s="5" t="str">
        <f t="shared" si="3"/>
        <v/>
      </c>
      <c r="H89">
        <f t="shared" si="4"/>
        <v>0</v>
      </c>
      <c r="I89" s="5">
        <f t="shared" si="5"/>
        <v>1</v>
      </c>
    </row>
    <row r="90" spans="1:9" ht="17">
      <c r="A90">
        <v>88</v>
      </c>
      <c r="B90">
        <v>13.5</v>
      </c>
      <c r="C90">
        <v>1</v>
      </c>
      <c r="D90" s="3">
        <v>0.71955579100176603</v>
      </c>
      <c r="G90" s="5" t="str">
        <f t="shared" si="3"/>
        <v>Reversal</v>
      </c>
      <c r="H90">
        <f t="shared" si="4"/>
        <v>0.5</v>
      </c>
      <c r="I90" s="5">
        <f t="shared" si="5"/>
        <v>1</v>
      </c>
    </row>
    <row r="91" spans="1:9" ht="17">
      <c r="A91">
        <v>89</v>
      </c>
      <c r="B91">
        <v>13.5</v>
      </c>
      <c r="C91">
        <v>0</v>
      </c>
      <c r="D91" s="3">
        <v>0.57928350000292905</v>
      </c>
      <c r="G91" s="5" t="str">
        <f t="shared" si="3"/>
        <v/>
      </c>
      <c r="H91">
        <f t="shared" si="4"/>
        <v>0.5</v>
      </c>
      <c r="I91" s="5">
        <f t="shared" si="5"/>
        <v>0</v>
      </c>
    </row>
    <row r="92" spans="1:9" ht="17">
      <c r="A92">
        <v>90</v>
      </c>
      <c r="B92">
        <v>14</v>
      </c>
      <c r="C92">
        <v>0</v>
      </c>
      <c r="D92" s="3">
        <v>0.68670745802228295</v>
      </c>
      <c r="G92" s="5" t="str">
        <f t="shared" si="3"/>
        <v/>
      </c>
      <c r="H92">
        <f t="shared" si="4"/>
        <v>0</v>
      </c>
      <c r="I92" s="5">
        <f t="shared" si="5"/>
        <v>0</v>
      </c>
    </row>
    <row r="93" spans="1:9" ht="17">
      <c r="A93">
        <v>91</v>
      </c>
      <c r="B93">
        <v>14.5</v>
      </c>
      <c r="C93">
        <v>1</v>
      </c>
      <c r="D93" s="3">
        <v>0.86441262500011296</v>
      </c>
      <c r="G93" s="5" t="str">
        <f t="shared" si="3"/>
        <v>Reversal</v>
      </c>
      <c r="H93">
        <f t="shared" si="4"/>
        <v>0</v>
      </c>
      <c r="I93" s="5">
        <f t="shared" si="5"/>
        <v>1</v>
      </c>
    </row>
    <row r="94" spans="1:9" ht="17">
      <c r="A94">
        <v>92</v>
      </c>
      <c r="B94">
        <v>14.5</v>
      </c>
      <c r="C94">
        <v>1</v>
      </c>
      <c r="D94" s="3">
        <v>0.486976250016596</v>
      </c>
      <c r="G94" s="5" t="str">
        <f t="shared" si="3"/>
        <v/>
      </c>
      <c r="H94">
        <f t="shared" si="4"/>
        <v>0.5</v>
      </c>
      <c r="I94" s="5">
        <f t="shared" si="5"/>
        <v>0</v>
      </c>
    </row>
    <row r="95" spans="1:9" ht="17">
      <c r="A95">
        <v>93</v>
      </c>
      <c r="B95">
        <v>14.5</v>
      </c>
      <c r="C95">
        <v>0</v>
      </c>
      <c r="D95" s="3">
        <v>0.56300316701526698</v>
      </c>
      <c r="G95" s="5" t="str">
        <f t="shared" si="3"/>
        <v>Reversal</v>
      </c>
      <c r="H95">
        <f t="shared" si="4"/>
        <v>0</v>
      </c>
      <c r="I95" s="5">
        <f t="shared" si="5"/>
        <v>0</v>
      </c>
    </row>
    <row r="96" spans="1:9" ht="17">
      <c r="A96">
        <v>94</v>
      </c>
      <c r="B96">
        <v>15</v>
      </c>
      <c r="C96">
        <v>1</v>
      </c>
      <c r="D96" s="3">
        <v>0.58095095798489604</v>
      </c>
      <c r="G96" s="5" t="str">
        <f t="shared" si="3"/>
        <v>Reversal</v>
      </c>
      <c r="H96">
        <f t="shared" si="4"/>
        <v>0</v>
      </c>
      <c r="I96" s="5">
        <f t="shared" si="5"/>
        <v>-1</v>
      </c>
    </row>
    <row r="97" spans="1:9" ht="17">
      <c r="A97">
        <v>95</v>
      </c>
      <c r="B97">
        <v>15</v>
      </c>
      <c r="C97">
        <v>1</v>
      </c>
      <c r="D97" s="3">
        <v>0.56043470802251205</v>
      </c>
      <c r="G97" s="5" t="str">
        <f t="shared" si="3"/>
        <v/>
      </c>
      <c r="H97">
        <f t="shared" si="4"/>
        <v>-0.5</v>
      </c>
      <c r="I97" s="5">
        <f t="shared" si="5"/>
        <v>0</v>
      </c>
    </row>
    <row r="98" spans="1:9" ht="17">
      <c r="A98">
        <v>96</v>
      </c>
      <c r="B98">
        <v>15</v>
      </c>
      <c r="C98">
        <v>1</v>
      </c>
      <c r="D98" s="3">
        <v>0.48981599998660302</v>
      </c>
      <c r="G98" s="5" t="str">
        <f t="shared" si="3"/>
        <v/>
      </c>
      <c r="H98">
        <f t="shared" si="4"/>
        <v>0</v>
      </c>
      <c r="I98" s="5">
        <f t="shared" si="5"/>
        <v>1</v>
      </c>
    </row>
    <row r="99" spans="1:9" ht="17">
      <c r="A99">
        <v>97</v>
      </c>
      <c r="B99">
        <v>14.5</v>
      </c>
      <c r="C99">
        <v>1</v>
      </c>
      <c r="D99" s="3">
        <v>0.524759833991993</v>
      </c>
      <c r="G99" s="5" t="str">
        <f t="shared" si="3"/>
        <v/>
      </c>
      <c r="H99">
        <f t="shared" si="4"/>
        <v>84.5</v>
      </c>
      <c r="I99" s="5">
        <f t="shared" si="5"/>
        <v>-1</v>
      </c>
    </row>
    <row r="100" spans="1:9" ht="17">
      <c r="A100">
        <v>98</v>
      </c>
      <c r="B100">
        <v>14.5</v>
      </c>
      <c r="C100">
        <v>1</v>
      </c>
      <c r="D100" s="3">
        <v>0.59054024997749299</v>
      </c>
      <c r="G100" s="5" t="str">
        <f t="shared" si="3"/>
        <v/>
      </c>
      <c r="H100">
        <f t="shared" si="4"/>
        <v>-99</v>
      </c>
      <c r="I100" s="5">
        <f t="shared" si="5"/>
        <v>0</v>
      </c>
    </row>
    <row r="101" spans="1:9" ht="17">
      <c r="A101">
        <v>99</v>
      </c>
      <c r="B101">
        <v>99</v>
      </c>
      <c r="C101">
        <v>1</v>
      </c>
      <c r="D101" s="3">
        <v>0.56270337500609402</v>
      </c>
      <c r="G101" s="5" t="str">
        <f t="shared" si="3"/>
        <v/>
      </c>
      <c r="H101">
        <f t="shared" si="4"/>
        <v>0</v>
      </c>
      <c r="I101" s="5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55B5-00B5-C845-9C18-D0CA9D721DE0}">
  <dimension ref="A1:B6"/>
  <sheetViews>
    <sheetView workbookViewId="0">
      <selection activeCell="B4" sqref="B4"/>
    </sheetView>
  </sheetViews>
  <sheetFormatPr baseColWidth="10" defaultRowHeight="16"/>
  <cols>
    <col min="1" max="1" width="15.33203125" customWidth="1"/>
  </cols>
  <sheetData>
    <row r="1" spans="1:2">
      <c r="A1" t="s">
        <v>657</v>
      </c>
      <c r="B1" t="s">
        <v>658</v>
      </c>
    </row>
    <row r="2" spans="1:2">
      <c r="A2" t="s">
        <v>655</v>
      </c>
      <c r="B2" s="4">
        <v>0.67</v>
      </c>
    </row>
    <row r="3" spans="1:2">
      <c r="A3" t="s">
        <v>654</v>
      </c>
      <c r="B3">
        <v>2.05310747</v>
      </c>
    </row>
    <row r="4" spans="1:2">
      <c r="A4" t="s">
        <v>653</v>
      </c>
      <c r="B4">
        <v>58626.200799999999</v>
      </c>
    </row>
    <row r="5" spans="1:2">
      <c r="A5" t="s">
        <v>652</v>
      </c>
      <c r="B5">
        <v>37</v>
      </c>
    </row>
    <row r="6" spans="1:2">
      <c r="A6" t="s">
        <v>656</v>
      </c>
      <c r="B6">
        <v>31.6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B64A-FDD1-CF43-8F7F-15CCA8F50847}">
  <dimension ref="C3:D29"/>
  <sheetViews>
    <sheetView tabSelected="1" topLeftCell="A26" workbookViewId="0">
      <selection activeCell="B33" sqref="B33"/>
    </sheetView>
  </sheetViews>
  <sheetFormatPr baseColWidth="10" defaultRowHeight="16"/>
  <sheetData>
    <row r="3" spans="3:4">
      <c r="C3" t="s">
        <v>659</v>
      </c>
    </row>
    <row r="14" spans="3:4">
      <c r="D14" s="6"/>
    </row>
    <row r="29" spans="3:3">
      <c r="C29" t="s">
        <v>660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186454_adapstair1_2025-09-07_16</vt:lpstr>
      <vt:lpstr>clean data</vt:lpstr>
      <vt:lpstr>SUMMARY</vt:lpstr>
      <vt:lpstr>figures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dshah131105@gmail.com</dc:creator>
  <cp:lastModifiedBy>dshah131105@gmail.com</cp:lastModifiedBy>
  <dcterms:created xsi:type="dcterms:W3CDTF">2025-09-07T11:10:51Z</dcterms:created>
  <dcterms:modified xsi:type="dcterms:W3CDTF">2025-09-07T18:27:19Z</dcterms:modified>
</cp:coreProperties>
</file>